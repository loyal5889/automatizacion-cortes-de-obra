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te" sheetId="1" state="visible" r:id="rId1"/>
    <sheet name="Consolidado reportes" sheetId="2" state="visible" r:id="rId2"/>
    <sheet name="Presupuesto" sheetId="3" state="visible" r:id="rId3"/>
  </sheets>
  <definedNames>
    <definedName name="_xlnm._FilterDatabase" localSheetId="0" hidden="1">'Corte'!$A$8:$M$22</definedName>
    <definedName name="_xlnm.Print_Titles" localSheetId="0">'Corte'!$1:$8</definedName>
    <definedName name="_xlnm.Print_Area" localSheetId="0">'Corte'!$A$1:$M$46</definedName>
    <definedName name="_xlnm._FilterDatabase" localSheetId="1" hidden="1">'Consolidado reportes'!$A$5:$K$30</definedName>
    <definedName name="_xlnm.Print_Titles" localSheetId="1">'Consolidado reportes'!$1:$5</definedName>
    <definedName name="_xlnm.Print_Area" localSheetId="1">'Consolidado reportes'!$A$1:$K$46</definedName>
    <definedName name="_xlnm._FilterDatabase" localSheetId="2" hidden="1">'Presupuesto'!$A$5:$H$19</definedName>
    <definedName name="_xlnm.Print_Titles" localSheetId="2">'Presupuesto'!$1:$5</definedName>
    <definedName name="_xlnm.Print_Area" localSheetId="2">'Presupuesto'!$A$1:$H$29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6">
    <numFmt numFmtId="164" formatCode="#,##0.00####;[Red](#,##0.00####);&quot;–&quot;"/>
    <numFmt numFmtId="165" formatCode="&quot;$&quot; #,##0.00;[Red](&quot;$&quot; #,##0.00);&quot;$&quot; 0.00"/>
    <numFmt numFmtId="166" formatCode="yyyy-mm-dd"/>
    <numFmt numFmtId="167" formatCode="dd/mm/yyyy"/>
    <numFmt numFmtId="168" formatCode="yyyy-mm-dd h:mm:ss"/>
    <numFmt numFmtId="169" formatCode="dd/mm/yyyy hh:mm:ss"/>
  </numFmts>
  <fonts count="13">
    <font>
      <name val="Calibri"/>
      <family val="2"/>
      <color theme="1"/>
      <sz val="11"/>
      <scheme val="minor"/>
    </font>
    <font>
      <name val="Arial"/>
      <color rgb="00222222"/>
      <sz val="10"/>
    </font>
    <font>
      <name val="Arial"/>
      <b val="1"/>
      <color rgb="00222222"/>
      <sz val="14"/>
    </font>
    <font>
      <name val="Arial"/>
      <b val="1"/>
      <color rgb="00203C55"/>
      <sz val="10"/>
    </font>
    <font>
      <name val="Arial"/>
      <color rgb="0023734B"/>
      <sz val="10"/>
    </font>
    <font>
      <name val="Arial"/>
      <color rgb="001755A0"/>
      <sz val="10"/>
    </font>
    <font>
      <name val="Arial"/>
      <b val="1"/>
      <color rgb="00222222"/>
      <sz val="10"/>
    </font>
    <font>
      <name val="Arial"/>
      <b val="1"/>
      <color rgb="00203C55"/>
      <sz val="12"/>
    </font>
    <font>
      <name val="Arial"/>
      <color rgb="00222222"/>
      <sz val="20"/>
    </font>
    <font>
      <name val="Arial"/>
      <b val="1"/>
      <color rgb="00222222"/>
      <sz val="20"/>
    </font>
    <font>
      <name val="Calibri"/>
      <family val="2"/>
      <color theme="1"/>
      <sz val="20"/>
      <scheme val="minor"/>
    </font>
    <font>
      <name val="Arial"/>
      <b val="1"/>
      <color rgb="00203C55"/>
      <sz val="20"/>
    </font>
    <font>
      <name val="Arial"/>
      <color rgb="001755A0"/>
      <sz val="20"/>
    </font>
  </fonts>
  <fills count="6">
    <fill>
      <patternFill/>
    </fill>
    <fill>
      <patternFill patternType="gray125"/>
    </fill>
    <fill>
      <patternFill patternType="solid">
        <fgColor rgb="00DCAD37"/>
      </patternFill>
    </fill>
    <fill>
      <patternFill patternType="solid">
        <fgColor rgb="00EFF3F7"/>
      </patternFill>
    </fill>
    <fill>
      <patternFill patternType="solid">
        <fgColor rgb="00DEE8E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right style="thin">
        <color rgb="00FFFFFF"/>
      </right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/>
    </xf>
    <xf numFmtId="0" fontId="10" fillId="2" borderId="0" pivotButton="0" quotePrefix="0" xfId="0"/>
    <xf numFmtId="0" fontId="8" fillId="0" borderId="0" applyAlignment="1" pivotButton="0" quotePrefix="0" xfId="0">
      <alignment/>
    </xf>
    <xf numFmtId="0" fontId="11" fillId="0" borderId="0" applyAlignment="1" pivotButton="0" quotePrefix="0" xfId="0">
      <alignment/>
    </xf>
    <xf numFmtId="0" fontId="9" fillId="2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right" vertical="center" wrapText="1"/>
    </xf>
    <xf numFmtId="0" fontId="8" fillId="3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right" vertical="center" wrapText="1"/>
    </xf>
    <xf numFmtId="165" fontId="8" fillId="3" borderId="0" applyAlignment="1" pivotButton="0" quotePrefix="0" xfId="0">
      <alignment horizontal="right" vertical="center" wrapText="1"/>
    </xf>
    <xf numFmtId="10" fontId="8" fillId="3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right" vertical="center" wrapText="1"/>
    </xf>
    <xf numFmtId="165" fontId="8" fillId="0" borderId="0" applyAlignment="1" pivotButton="0" quotePrefix="0" xfId="0">
      <alignment horizontal="right" vertical="center" wrapText="1"/>
    </xf>
    <xf numFmtId="10" fontId="8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vertical="center"/>
    </xf>
    <xf numFmtId="0" fontId="11" fillId="4" borderId="0" applyAlignment="1" pivotButton="0" quotePrefix="0" xfId="0">
      <alignment horizontal="left" vertical="center" wrapText="1"/>
    </xf>
    <xf numFmtId="165" fontId="9" fillId="4" borderId="0" applyAlignment="1" pivotButton="0" quotePrefix="0" xfId="0">
      <alignment horizontal="right" vertical="center" wrapText="1"/>
    </xf>
    <xf numFmtId="10" fontId="12" fillId="5" borderId="0" applyAlignment="1" pivotButton="0" quotePrefix="0" xfId="0">
      <alignment horizontal="right" vertical="center" wrapText="1"/>
    </xf>
    <xf numFmtId="165" fontId="8" fillId="5" borderId="0" applyAlignment="1" pivotButton="0" quotePrefix="0" xfId="0">
      <alignment horizontal="right" vertical="center" wrapText="1"/>
    </xf>
    <xf numFmtId="167" fontId="8" fillId="0" borderId="0" applyAlignment="1" pivotButton="0" quotePrefix="0" xfId="0">
      <alignment horizontal="left" vertical="center" wrapText="1"/>
    </xf>
    <xf numFmtId="169" fontId="8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left" vertical="center" wrapText="1"/>
    </xf>
    <xf numFmtId="167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2704794</colOff>
      <row>0</row>
      <rowOff>76200</rowOff>
    </from>
    <ext cx="10563836" cy="1752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tabColor rgb="00203C55"/>
    <s:outlinePr summaryBelow="1" summaryRight="1"/>
    <s:pageSetUpPr fitToPage="0"/>
  </s:sheetPr>
  <s:dimension ref="A1:M46"/>
  <s:sheetViews>
    <s:sheetView showGridLines="0" workbookViewId="0">
      <s:selection activeCell="A1" sqref="A1"/>
    </s:sheetView>
  </s:sheetViews>
  <s:sheetFormatPr baseColWidth="8" defaultRowHeight="15"/>
  <s:cols>
    <s:col width="11.2" customWidth="1" min="1" max="1"/>
    <s:col width="49" customWidth="1" min="2" max="2"/>
    <s:col width="112" customWidth="1" min="3" max="3"/>
    <s:col width="15.4" customWidth="1" min="4" max="4"/>
    <s:col width="23.8" customWidth="1" min="5" max="5"/>
    <s:col width="23.8" customWidth="1" min="6" max="6"/>
    <s:col width="23.8" customWidth="1" min="7" max="7"/>
    <s:col width="25.2" customWidth="1" min="8" max="8"/>
    <s:col width="30.8" customWidth="1" min="9" max="9"/>
    <s:col width="33.59999999999999" customWidth="1" min="10" max="10"/>
    <s:col width="23.8" customWidth="1" min="11" max="11"/>
    <s:col width="33.59999999999999" customWidth="1" min="12" max="12"/>
    <s:col width="22.4" customWidth="1" min="13" max="13"/>
  </s:cols>
  <s:sheetData>
    <s:row r="1" ht="25" customHeight="1">
      <s:c r="A1" s="1" t="n"/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</s:row>
    <s:row r="2" ht="29" customHeight="1">
      <s:c r="A2" s="2" t="inlineStr">
        <s:is>
          <s:t>Darca II — Corte 01</s:t>
        </s:is>
      </s:c>
      <s:c r="B2" s="3" t="n"/>
      <s:c r="C2" s="3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</s:row>
    <s:row r="3" ht="25" customHeight="1">
      <s:c r="A3" s="1" t="n"/>
      <s:c r="B3" s="4" t="inlineStr">
        <s:is>
          <s:t>Periodo: 24/08/2026 al 19/09/2026 · Valores en COP</s:t>
        </s:is>
      </s:c>
      <s:c r="C3" s="1" t="n"/>
      <s:c r="D3" s="1" t="n"/>
      <s:c r="E3" s="1" t="n"/>
      <s:c r="F3" s="1" t="n"/>
      <s:c r="G3" s="1" t="n"/>
      <s:c r="H3" s="1" t="n"/>
      <s:c r="I3" s="1" t="n"/>
      <s:c r="J3" s="1" t="n"/>
      <s:c r="K3" s="1" t="n"/>
      <s:c r="L3" s="1" t="n"/>
      <s:c r="M3" s="1" t="n"/>
    </s:row>
    <s:row r="4" ht="25" customHeight="1">
      <s:c r="A4" s="1" t="n"/>
      <s:c r="B4" s="5" t="inlineStr">
        <s:is>
          <s:t>DEFINITIVO — verificar registro JSON del histórico</s:t>
        </s:is>
      </s:c>
      <s:c r="C4" s="1" t="n"/>
      <s:c r="D4" s="1" t="n"/>
      <s:c r="E4" s="1" t="n"/>
      <s:c r="F4" s="1" t="n"/>
      <s:c r="G4" s="1" t="n"/>
      <s:c r="H4" s="1" t="n"/>
      <s:c r="I4" s="1" t="n"/>
      <s:c r="J4" s="1" t="n"/>
      <s:c r="K4" s="1" t="n"/>
      <s:c r="L4" s="1" t="n"/>
      <s:c r="M4" s="1" t="n"/>
    </s:row>
    <s:row r="5" ht="22" customHeight="1">
      <s:c r="A5" s="1" t="n"/>
      <s:c r="B5" s="4" t="inlineStr">
        <s:is>
          <s:t>Generado: 22/09/2026 12:45:54 (UTC-0500)</s:t>
        </s:is>
      </s:c>
      <s:c r="C5" s="1" t="n"/>
      <s:c r="D5" s="1" t="n"/>
      <s:c r="E5" s="1" t="n"/>
      <s:c r="F5" s="1" t="n"/>
      <s:c r="G5" s="1" t="n"/>
      <s:c r="H5" s="1" t="n"/>
      <s:c r="I5" s="1" t="n"/>
      <s:c r="J5" s="1" t="n"/>
      <s:c r="K5" s="1" t="n"/>
      <s:c r="L5" s="1" t="n"/>
      <s:c r="M5" s="1" t="n"/>
    </s:row>
    <s:row r="6" ht="12" customHeight="1">
      <s:c r="A6" s="1" t="n"/>
      <s:c r="B6" s="1" t="n"/>
      <s:c r="C6" s="1" t="n"/>
      <s:c r="D6" s="1" t="n"/>
      <s:c r="E6" s="1" t="n"/>
      <s:c r="F6" s="1" t="n"/>
      <s:c r="G6" s="1" t="n"/>
      <s:c r="H6" s="1" t="n"/>
      <s:c r="I6" s="1" t="n"/>
      <s:c r="J6" s="1" t="n"/>
      <s:c r="K6" s="1" t="n"/>
      <s:c r="L6" s="1" t="n"/>
      <s:c r="M6" s="1" t="n"/>
    </s:row>
    <s:row r="7" ht="12" customHeight="1">
      <s:c r="A7" s="1" t="n"/>
      <s:c r="B7" s="1" t="n"/>
      <s:c r="C7" s="1" t="n"/>
      <s:c r="D7" s="1" t="n"/>
      <s:c r="E7" s="1" t="n"/>
      <s:c r="F7" s="1" t="n"/>
      <s:c r="G7" s="1" t="n"/>
      <s:c r="H7" s="1" t="n"/>
      <s:c r="I7" s="1" t="n"/>
      <s:c r="J7" s="1" t="n"/>
      <s:c r="K7" s="1" t="n"/>
      <s:c r="L7" s="1" t="n"/>
      <s:c r="M7" s="1" t="n"/>
    </s:row>
    <s:row r="8" ht="86" customHeight="1">
      <s:c r="A8" s="6" t="inlineStr">
        <s:is>
          <s:t>Ítem</s:t>
        </s:is>
      </s:c>
      <s:c r="B8" s="6" t="inlineStr">
        <s:is>
          <s:t>Actividad</s:t>
        </s:is>
      </s:c>
      <s:c r="C8" s="6" t="inlineStr">
        <s:is>
          <s:t>Descripción</s:t>
        </s:is>
      </s:c>
      <s:c r="D8" s="6" t="inlineStr">
        <s:is>
          <s:t>Unidad</s:t>
        </s:is>
      </s:c>
      <s:c r="E8" s="6" t="inlineStr">
        <s:is>
          <s:t>Cantidad contratada</s:t>
        </s:is>
      </s:c>
      <s:c r="F8" s="6" t="inlineStr">
        <s:is>
          <s:t>Cantidad corte anterior</s:t>
        </s:is>
      </s:c>
      <s:c r="G8" s="6" t="inlineStr">
        <s:is>
          <s:t>Cantidad corte actual</s:t>
        </s:is>
      </s:c>
      <s:c r="H8" s="6" t="inlineStr">
        <s:is>
          <s:t>Cantidad ejecutada acumulada</s:t>
        </s:is>
      </s:c>
      <s:c r="I8" s="6" t="inlineStr">
        <s:is>
          <s:t>Precio unitario</s:t>
        </s:is>
      </s:c>
      <s:c r="J8" s="6" t="inlineStr">
        <s:is>
          <s:t>Valor corte actual</s:t>
        </s:is>
      </s:c>
      <s:c r="K8" s="6" t="inlineStr">
        <s:is>
          <s:t>Cantidad restante</s:t>
        </s:is>
      </s:c>
      <s:c r="L8" s="6" t="inlineStr">
        <s:is>
          <s:t>Valor restante</s:t>
        </s:is>
      </s:c>
      <s:c r="M8" s="6" t="inlineStr">
        <s:is>
          <s:t>Porcentaje ejecutado</s:t>
        </s:is>
      </s:c>
    </s:row>
    <s:row r="9" ht="81.19999999999999" customHeight="1">
      <s:c r="A9" s="7" t="n">
        <s:v>1</s:v>
      </s:c>
      <s:c r="B9" s="8" t="str">
        <s:f>'Presupuesto'!B6</s:f>
        <s:v>Limpieza superficie</s:v>
      </s:c>
      <s:c r="C9" s="8" t="str">
        <s:f>'Presupuesto'!C6</s:f>
        <s:v>Limpieza de fachada en ladrillo, incluyendo la eliminación de hollín, marcas color naranja y mugre por polución ambiental, utilizando hidrolavadora de 3000 psi.</s:v>
      </s:c>
      <s:c r="D9" s="9" t="str">
        <s:f>'Presupuesto'!D6</s:f>
        <s:v>m²</s:v>
      </s:c>
      <s:c r="E9" s="10" t="n">
        <s:f>'Presupuesto'!E6</s:f>
        <s:v>3744</s:v>
      </s:c>
      <s:c r="F9" s="10" t="n">
        <s:v>0</s:v>
      </s:c>
      <s:c r="G9" s="10" t="n">
        <s:f>SUMIFS('Consolidado reportes'!$J$6:$J$30,'Consolidado reportes'!$K$6:$K$30,A9)-F9</s:f>
        <s:v>1872.000000</s:v>
      </s:c>
      <s:c r="H9" s="10" t="n">
        <s:f>F9+G9</s:f>
        <s:v>1872.000000</s:v>
      </s:c>
      <s:c r="I9" s="11" t="n">
        <s:f>'Presupuesto'!F6</s:f>
        <s:v>2707.047259942147</s:v>
      </s:c>
      <s:c r="J9" s="11" t="n">
        <s:f>G9*I9</s:f>
        <s:v>5067592.470611699184000000</s:v>
      </s:c>
      <s:c r="K9" s="10" t="n">
        <s:f>E9-H9</s:f>
        <s:v>1872.000000</s:v>
      </s:c>
      <s:c r="L9" s="11" t="n">
        <s:f>K9*I9</s:f>
        <s:v>5067592.470611699184000000</s:v>
      </s:c>
      <s:c r="M9" s="12" t="n">
        <s:f>H9/E9</s:f>
        <s:v>0.500000</s:v>
      </s:c>
    </s:row>
    <s:row r="10" ht="81.19999999999999" customHeight="1">
      <s:c r="A10" s="13" t="n">
        <s:v>2</s:v>
      </s:c>
      <s:c r="B10" s="1" t="str">
        <s:f>'Presupuesto'!B7</s:f>
        <s:v>Reparaciones menores</s:v>
      </s:c>
      <s:c r="C10" s="1" t="str">
        <s:f>'Presupuesto'!C7</s:f>
        <s:v>Reemplazo de piezas rotas o deterioradas, emboquillado de fisuras con mortero impermeabilizado y Sika Latex.</s:v>
      </s:c>
      <s:c r="D10" s="14" t="str">
        <s:f>'Presupuesto'!D7</s:f>
        <s:v>und</s:v>
      </s:c>
      <s:c r="E10" s="15" t="n">
        <s:f>'Presupuesto'!E7</s:f>
        <s:v>500</s:v>
      </s:c>
      <s:c r="F10" s="15" t="n">
        <s:v>0</s:v>
      </s:c>
      <s:c r="G10" s="15" t="n">
        <s:f>SUMIFS('Consolidado reportes'!$J$6:$J$30,'Consolidado reportes'!$K$6:$K$30,A10)-F10</s:f>
        <s:v>268.000000</s:v>
      </s:c>
      <s:c r="H10" s="15" t="n">
        <s:f>F10+G10</s:f>
        <s:v>268.000000</s:v>
      </s:c>
      <s:c r="I10" s="16" t="n">
        <s:f>'Presupuesto'!F7</s:f>
        <s:v>12761.79422544155</s:v>
      </s:c>
      <s:c r="J10" s="16" t="n">
        <s:f>G10*I10</s:f>
        <s:v>3420160.85241833540000000</s:v>
      </s:c>
      <s:c r="K10" s="15" t="n">
        <s:f>E10-H10</s:f>
        <s:v>232.000000</s:v>
      </s:c>
      <s:c r="L10" s="16" t="n">
        <s:f>K10*I10</s:f>
        <s:v>2960736.26030243960000000</s:v>
      </s:c>
      <s:c r="M10" s="17" t="n">
        <s:f>H10/E10</s:f>
        <s:v>0.536000</s:v>
      </s:c>
    </s:row>
    <s:row r="11" ht="81.19999999999999" customHeight="1">
      <s:c r="A11" s="7" t="n">
        <s:v>3</s:v>
      </s:c>
      <s:c r="B11" s="8" t="str">
        <s:f>'Presupuesto'!B8</s:f>
        <s:v>Protecciones</s:v>
      </s:c>
      <s:c r="C11" s="8" t="str">
        <s:f>'Presupuesto'!C8</s:f>
        <s:v>Protección de ventanas con plástico y limpieza de vidrios y marcos.</s:v>
      </s:c>
      <s:c r="D11" s="9" t="str">
        <s:f>'Presupuesto'!D8</s:f>
        <s:v>m²</s:v>
      </s:c>
      <s:c r="E11" s="10" t="n">
        <s:f>'Presupuesto'!E8</s:f>
        <s:v>1800</s:v>
      </s:c>
      <s:c r="F11" s="10" t="n">
        <s:v>0</s:v>
      </s:c>
      <s:c r="G11" s="10" t="n">
        <s:f>SUMIFS('Consolidado reportes'!$J$6:$J$30,'Consolidado reportes'!$K$6:$K$30,A11)-F11</s:f>
        <s:v>900.000000</s:v>
      </s:c>
      <s:c r="H11" s="10" t="n">
        <s:f>F11+G11</s:f>
        <s:v>900.000000</s:v>
      </s:c>
      <s:c r="I11" s="11" t="n">
        <s:f>'Presupuesto'!F8</s:f>
        <s:v>4157.251149196869</s:v>
      </s:c>
      <s:c r="J11" s="11" t="n">
        <s:f>G11*I11</s:f>
        <s:v>3741526.034277182100000000</s:v>
      </s:c>
      <s:c r="K11" s="10" t="n">
        <s:f>E11-H11</s:f>
        <s:v>900.000000</s:v>
      </s:c>
      <s:c r="L11" s="11" t="n">
        <s:f>K11*I11</s:f>
        <s:v>3741526.034277182100000000</s:v>
      </s:c>
      <s:c r="M11" s="12" t="n">
        <s:f>H11/E11</s:f>
        <s:v>0.500000</s:v>
      </s:c>
    </s:row>
    <s:row r="12" ht="81.19999999999999" customHeight="1">
      <s:c r="A12" s="13" t="n">
        <s:v>4</s:v>
      </s:c>
      <s:c r="B12" s="1" t="str">
        <s:f>'Presupuesto'!B9</s:f>
        <s:v>Emboquillado</s:v>
      </s:c>
      <s:c r="C12" s="1" t="str">
        <s:f>'Presupuesto'!C9</s:f>
        <s:v>Suministro y aplicación de mortero impermeabilizante en toda la fachada, incluyendo muros laterales.</s:v>
      </s:c>
      <s:c r="D12" s="14" t="str">
        <s:f>'Presupuesto'!D9</s:f>
        <s:v>m²</s:v>
      </s:c>
      <s:c r="E12" s="15" t="n">
        <s:f>'Presupuesto'!E9</s:f>
        <s:v>3744</s:v>
      </s:c>
      <s:c r="F12" s="15" t="n">
        <s:v>0</s:v>
      </s:c>
      <s:c r="G12" s="15" t="n">
        <s:f>SUMIFS('Consolidado reportes'!$J$6:$J$30,'Consolidado reportes'!$K$6:$K$30,A12)-F12</s:f>
        <s:v>1872.000000</s:v>
      </s:c>
      <s:c r="H12" s="15" t="n">
        <s:f>F12+G12</s:f>
        <s:v>1872.000000</s:v>
      </s:c>
      <s:c r="I12" s="16" t="n">
        <s:f>'Presupuesto'!F9</s:f>
        <s:v>4060.5708899132205</s:v>
      </s:c>
      <s:c r="J12" s="16" t="n">
        <s:f>G12*I12</s:f>
        <s:v>7601388.7059175487760000000</s:v>
      </s:c>
      <s:c r="K12" s="15" t="n">
        <s:f>E12-H12</s:f>
        <s:v>1872.000000</s:v>
      </s:c>
      <s:c r="L12" s="16" t="n">
        <s:f>K12*I12</s:f>
        <s:v>7601388.7059175487760000000</s:v>
      </s:c>
      <s:c r="M12" s="17" t="n">
        <s:f>H12/E12</s:f>
        <s:v>0.500000</s:v>
      </s:c>
    </s:row>
    <s:row r="13" ht="81.19999999999999" customHeight="1">
      <s:c r="A13" s="7" t="n">
        <s:v>5</s:v>
      </s:c>
      <s:c r="B13" s="8" t="str">
        <s:f>'Presupuesto'!B10</s:f>
        <s:v>Lavado</s:v>
      </s:c>
      <s:c r="C13" s="8" t="str">
        <s:f>'Presupuesto'!C10</s:f>
        <s:v>Lavado con rinse o ácido especializado para fachadas, tras el emboquillado.</s:v>
      </s:c>
      <s:c r="D13" s="9" t="str">
        <s:f>'Presupuesto'!D10</s:f>
        <s:v>m²</s:v>
      </s:c>
      <s:c r="E13" s="10" t="n">
        <s:f>'Presupuesto'!E10</s:f>
        <s:v>3744</s:v>
      </s:c>
      <s:c r="F13" s="10" t="n">
        <s:v>0</s:v>
      </s:c>
      <s:c r="G13" s="10" t="n">
        <s:f>SUMIFS('Consolidado reportes'!$J$6:$J$30,'Consolidado reportes'!$K$6:$K$30,A13)-F13</s:f>
        <s:v>1872.000000</s:v>
      </s:c>
      <s:c r="H13" s="10" t="n">
        <s:f>F13+G13</s:f>
        <s:v>1872.000000</s:v>
      </s:c>
      <s:c r="I13" s="11" t="n">
        <s:f>'Presupuesto'!F10</s:f>
        <s:v>6090.856334869831</s:v>
      </s:c>
      <s:c r="J13" s="11" t="n">
        <s:f>G13*I13</s:f>
        <s:v>11402083.058876323632000000</s:v>
      </s:c>
      <s:c r="K13" s="10" t="n">
        <s:f>E13-H13</s:f>
        <s:v>1872.000000</s:v>
      </s:c>
      <s:c r="L13" s="11" t="n">
        <s:f>K13*I13</s:f>
        <s:v>11402083.058876323632000000</s:v>
      </s:c>
      <s:c r="M13" s="12" t="n">
        <s:f>H13/E13</s:f>
        <s:v>0.500000</s:v>
      </s:c>
    </s:row>
    <s:row r="14" ht="81.19999999999999" customHeight="1">
      <s:c r="A14" s="13" t="n">
        <s:v>6</s:v>
      </s:c>
      <s:c r="B14" s="1" t="str">
        <s:f>'Presupuesto'!B11</s:f>
        <s:v>Suministro y aplicación</s:v>
      </s:c>
      <s:c r="C14" s="1" t="str">
        <s:f>'Presupuesto'!C11</s:f>
        <s:v>Aplicación de dos manos de SIKA impermeabilizante 10 años, en toda la fachada, incluyendo muros laterales y ladrillo del cerramiento, con aspersor a 360 psi.</s:v>
      </s:c>
      <s:c r="D14" s="14" t="str">
        <s:f>'Presupuesto'!D11</s:f>
        <s:v>m²</s:v>
      </s:c>
      <s:c r="E14" s="15" t="n">
        <s:f>'Presupuesto'!E11</s:f>
        <s:v>3744</s:v>
      </s:c>
      <s:c r="F14" s="15" t="n">
        <s:v>0</s:v>
      </s:c>
      <s:c r="G14" s="15" t="n">
        <s:f>SUMIFS('Consolidado reportes'!$J$6:$J$30,'Consolidado reportes'!$K$6:$K$30,A14)-F14</s:f>
        <s:v>1872.000000</s:v>
      </s:c>
      <s:c r="H14" s="15" t="n">
        <s:f>F14+G14</s:f>
        <s:v>1872.000000</s:v>
      </s:c>
      <s:c r="I14" s="16" t="n">
        <s:f>'Presupuesto'!F11</s:f>
        <s:v>11359.930465828653</s:v>
      </s:c>
      <s:c r="J14" s="16" t="n">
        <s:f>G14*I14</s:f>
        <s:v>21265789.832031238416000000</s:v>
      </s:c>
      <s:c r="K14" s="15" t="n">
        <s:f>E14-H14</s:f>
        <s:v>1872.000000</s:v>
      </s:c>
      <s:c r="L14" s="16" t="n">
        <s:f>K14*I14</s:f>
        <s:v>21265789.832031238416000000</s:v>
      </s:c>
      <s:c r="M14" s="17" t="n">
        <s:f>H14/E14</s:f>
        <s:v>0.500000</s:v>
      </s:c>
    </s:row>
    <s:row r="15" ht="81.19999999999999" customHeight="1">
      <s:c r="A15" s="7" t="n">
        <s:v>7</s:v>
      </s:c>
      <s:c r="B15" s="8" t="str">
        <s:f>'Presupuesto'!B12</s:f>
        <s:v>Resane y reparación</s:v>
      </s:c>
      <s:c r="C15" s="8" t="str">
        <s:f>'Presupuesto'!C12</s:f>
        <s:v>Resane de muros laterales, impermeabilización y pintura color blanca de alta resistencia.</s:v>
      </s:c>
      <s:c r="D15" s="9" t="str">
        <s:f>'Presupuesto'!D12</s:f>
        <s:v>m²</s:v>
      </s:c>
      <s:c r="E15" s="10" t="n">
        <s:f>'Presupuesto'!E12</s:f>
        <s:v>270</s:v>
      </s:c>
      <s:c r="F15" s="10" t="n">
        <s:v>0</s:v>
      </s:c>
      <s:c r="G15" s="10" t="n">
        <s:f>SUMIFS('Consolidado reportes'!$J$6:$J$30,'Consolidado reportes'!$K$6:$K$30,A15)-F15</s:f>
        <s:v>0.000000</s:v>
      </s:c>
      <s:c r="H15" s="10" t="n">
        <s:f>F15+G15</s:f>
        <s:v>0.000000</s:v>
      </s:c>
      <s:c r="I15" s="11" t="n">
        <s:f>'Presupuesto'!F12</s:f>
        <s:v>18272.569004609493</s:v>
      </s:c>
      <s:c r="J15" s="11" t="n">
        <s:f>G15*I15</s:f>
        <s:v>0E-18</s:v>
      </s:c>
      <s:c r="K15" s="10" t="n">
        <s:f>E15-H15</s:f>
        <s:v>270.000000</s:v>
      </s:c>
      <s:c r="L15" s="11" t="n">
        <s:f>K15*I15</s:f>
        <s:v>4933593.631244563110000000</s:v>
      </s:c>
      <s:c r="M15" s="12" t="n">
        <s:f>H15/E15</s:f>
        <s:v>0.000000</s:v>
      </s:c>
    </s:row>
    <s:row r="16" ht="81.19999999999999" customHeight="1">
      <s:c r="A16" s="13" t="n">
        <s:v>8</s:v>
      </s:c>
      <s:c r="B16" s="1" t="str">
        <s:f>'Presupuesto'!B13</s:f>
        <s:v>Vidrios y marcos</s:v>
      </s:c>
      <s:c r="C16" s="1" t="str">
        <s:f>'Presupuesto'!C13</s:f>
        <s:v>Lavado de vidrios, incluyendo flanches</s:v>
      </s:c>
      <s:c r="D16" s="14" t="str">
        <s:f>'Presupuesto'!D13</s:f>
        <s:v>m²</s:v>
      </s:c>
      <s:c r="E16" s="15" t="n">
        <s:f>'Presupuesto'!E13</s:f>
        <s:v>1800</s:v>
      </s:c>
      <s:c r="F16" s="15" t="n">
        <s:v>0</s:v>
      </s:c>
      <s:c r="G16" s="15" t="n">
        <s:f>SUMIFS('Consolidado reportes'!$J$6:$J$30,'Consolidado reportes'!$K$6:$K$30,A16)-F16</s:f>
        <s:v>0.000000</s:v>
      </s:c>
      <s:c r="H16" s="15" t="n">
        <s:f>F16+G16</s:f>
        <s:v>0.000000</s:v>
      </s:c>
      <s:c r="I16" s="16" t="n">
        <s:f>'Presupuesto'!F13</s:f>
        <s:v>6284.216853437127</s:v>
      </s:c>
      <s:c r="J16" s="16" t="n">
        <s:f>G16*I16</s:f>
        <s:v>0E-18</s:v>
      </s:c>
      <s:c r="K16" s="15" t="n">
        <s:f>E16-H16</s:f>
        <s:v>1800.000000</s:v>
      </s:c>
      <s:c r="L16" s="16" t="n">
        <s:f>K16*I16</s:f>
        <s:v>11311590.336186828600000000</s:v>
      </s:c>
      <s:c r="M16" s="17" t="n">
        <s:f>H16/E16</s:f>
        <s:v>0.000000</s:v>
      </s:c>
    </s:row>
    <s:row r="17" ht="81.19999999999999" customHeight="1">
      <s:c r="A17" s="7" t="n">
        <s:v>9</s:v>
      </s:c>
      <s:c r="B17" s="8" t="str">
        <s:f>'Presupuesto'!B14</s:f>
        <s:v>Vidrios y marcos</s:v>
      </s:c>
      <s:c r="C17" s="8" t="str">
        <s:f>'Presupuesto'!C14</s:f>
        <s:v>Pintura de marcos y flanches, aplicación de silicona antihongos y reparación de marcos defectuosos.</s:v>
      </s:c>
      <s:c r="D17" s="9" t="str">
        <s:f>'Presupuesto'!D14</s:f>
        <s:v>ml</s:v>
      </s:c>
      <s:c r="E17" s="10" t="n">
        <s:f>'Presupuesto'!E14</s:f>
        <s:v>1248</s:v>
      </s:c>
      <s:c r="F17" s="10" t="n">
        <s:v>0</s:v>
      </s:c>
      <s:c r="G17" s="10" t="n">
        <s:f>SUMIFS('Consolidado reportes'!$J$6:$J$30,'Consolidado reportes'!$K$6:$K$30,A17)-F17</s:f>
        <s:v>0.000000</s:v>
      </s:c>
      <s:c r="H17" s="10" t="n">
        <s:f>F17+G17</s:f>
        <s:v>0.000000</s:v>
      </s:c>
      <s:c r="I17" s="11" t="n">
        <s:f>'Presupuesto'!F14</s:f>
        <s:v>10344.787743350347</s:v>
      </s:c>
      <s:c r="J17" s="11" t="n">
        <s:f>G17*I17</s:f>
        <s:v>0E-18</s:v>
      </s:c>
      <s:c r="K17" s="10" t="n">
        <s:f>E17-H17</s:f>
        <s:v>1248.000000</s:v>
      </s:c>
      <s:c r="L17" s="11" t="n">
        <s:f>K17*I17</s:f>
        <s:v>12910295.103701233056000000</s:v>
      </s:c>
      <s:c r="M17" s="12" t="n">
        <s:f>H17/E17</s:f>
        <s:v>0.000000</s:v>
      </s:c>
    </s:row>
    <s:row r="18" ht="81.19999999999999" customHeight="1">
      <s:c r="A18" s="13" t="n">
        <s:v>10</s:v>
      </s:c>
      <s:c r="B18" s="1" t="str">
        <s:f>'Presupuesto'!B15</s:f>
        <s:v>Fachada flotante</s:v>
      </s:c>
      <s:c r="C18" s="1" t="str">
        <s:f>'Presupuesto'!C15</s:f>
        <s:v>Lavado de vidrios, incluyendo la marquesina.</s:v>
      </s:c>
      <s:c r="D18" s="14" t="str">
        <s:f>'Presupuesto'!D15</s:f>
        <s:v>m²</s:v>
      </s:c>
      <s:c r="E18" s="15" t="n">
        <s:f>'Presupuesto'!E15</s:f>
        <s:v>640</s:v>
      </s:c>
      <s:c r="F18" s="15" t="n">
        <s:v>0</s:v>
      </s:c>
      <s:c r="G18" s="15" t="n">
        <s:f>SUMIFS('Consolidado reportes'!$J$6:$J$30,'Consolidado reportes'!$K$6:$K$30,A18)-F18</s:f>
        <s:v>0.000000</s:v>
      </s:c>
      <s:c r="H18" s="15" t="n">
        <s:f>F18+G18</s:f>
        <s:v>0.000000</s:v>
      </s:c>
      <s:c r="I18" s="16" t="n">
        <s:f>'Presupuesto'!F15</s:f>
        <s:v>6284.216853437127</s:v>
      </s:c>
      <s:c r="J18" s="16" t="n">
        <s:f>G18*I18</s:f>
        <s:v>0E-18</s:v>
      </s:c>
      <s:c r="K18" s="15" t="n">
        <s:f>E18-H18</s:f>
        <s:v>640.000000</s:v>
      </s:c>
      <s:c r="L18" s="16" t="n">
        <s:f>K18*I18</s:f>
        <s:v>4021898.786199761280000000</s:v>
      </s:c>
      <s:c r="M18" s="17" t="n">
        <s:f>H18/E18</s:f>
        <s:v>0.000000</s:v>
      </s:c>
    </s:row>
    <s:row r="19" ht="81.19999999999999" customHeight="1">
      <s:c r="A19" s="7" t="n">
        <s:v>11</s:v>
      </s:c>
      <s:c r="B19" s="8" t="str">
        <s:f>'Presupuesto'!B16</s:f>
        <s:v>Concreto abuzar</s:v>
      </s:c>
      <s:c r="C19" s="8" t="str">
        <s:f>'Presupuesto'!C16</s:f>
        <s:v>Lavado de concreto en fachada flotante, tanto interno como externo.</s:v>
      </s:c>
      <s:c r="D19" s="9" t="str">
        <s:f>'Presupuesto'!D16</s:f>
        <s:v>m²</s:v>
      </s:c>
      <s:c r="E19" s="10" t="n">
        <s:f>'Presupuesto'!E16</s:f>
        <s:v>192</s:v>
      </s:c>
      <s:c r="F19" s="10" t="n">
        <s:v>0</s:v>
      </s:c>
      <s:c r="G19" s="10" t="n">
        <s:f>SUMIFS('Consolidado reportes'!$J$6:$J$30,'Consolidado reportes'!$K$6:$K$30,A19)-F19</s:f>
        <s:v>0.000000</s:v>
      </s:c>
      <s:c r="H19" s="10" t="n">
        <s:f>F19+G19</s:f>
        <s:v>0.000000</s:v>
      </s:c>
      <s:c r="I19" s="11" t="n">
        <s:f>'Presupuesto'!F16</s:f>
        <s:v>6960.978668422664</s:v>
      </s:c>
      <s:c r="J19" s="11" t="n">
        <s:f>G19*I19</s:f>
        <s:v>0E-18</s:v>
      </s:c>
      <s:c r="K19" s="10" t="n">
        <s:f>E19-H19</s:f>
        <s:v>192.000000</s:v>
      </s:c>
      <s:c r="L19" s="11" t="n">
        <s:f>K19*I19</s:f>
        <s:v>1336507.904337151488000000</s:v>
      </s:c>
      <s:c r="M19" s="12" t="n">
        <s:f>H19/E19</s:f>
        <s:v>0.000000</s:v>
      </s:c>
    </s:row>
    <s:row r="20" ht="81.19999999999999" customHeight="1">
      <s:c r="A20" s="13" t="n">
        <s:v>12</s:v>
      </s:c>
      <s:c r="B20" s="1" t="str">
        <s:f>'Presupuesto'!B17</s:f>
        <s:v>Ductos de gas</s:v>
      </s:c>
      <s:c r="C20" s="1" t="str">
        <s:f>'Presupuesto'!C17</s:f>
        <s:v>Lijado y limpieza de ductos de gas en áreas de cocina</s:v>
      </s:c>
      <s:c r="D20" s="14" t="str">
        <s:f>'Presupuesto'!D17</s:f>
        <s:v>m²</s:v>
      </s:c>
      <s:c r="E20" s="15" t="n">
        <s:f>'Presupuesto'!E17</s:f>
        <s:v>180</s:v>
      </s:c>
      <s:c r="F20" s="15" t="n">
        <s:v>0</s:v>
      </s:c>
      <s:c r="G20" s="15" t="n">
        <s:f>SUMIFS('Consolidado reportes'!$J$6:$J$30,'Consolidado reportes'!$K$6:$K$30,A20)-F20</s:f>
        <s:v>0.000000</s:v>
      </s:c>
      <s:c r="H20" s="15" t="n">
        <s:f>F20+G20</s:f>
        <s:v>0.000000</s:v>
      </s:c>
      <s:c r="I20" s="16" t="n">
        <s:f>'Presupuesto'!F17</s:f>
        <s:v>6477.5773720044235</s:v>
      </s:c>
      <s:c r="J20" s="16" t="n">
        <s:f>G20*I20</s:f>
        <s:v>0E-19</s:v>
      </s:c>
      <s:c r="K20" s="15" t="n">
        <s:f>E20-H20</s:f>
        <s:v>180.000000</s:v>
      </s:c>
      <s:c r="L20" s="16" t="n">
        <s:f>K20*I20</s:f>
        <s:v>1165963.9269607962300000000</s:v>
      </s:c>
      <s:c r="M20" s="17" t="n">
        <s:f>H20/E20</s:f>
        <s:v>0.000000</s:v>
      </s:c>
    </s:row>
    <s:row r="21" ht="81.19999999999999" customHeight="1">
      <s:c r="A21" s="7" t="n">
        <s:v>13</s:v>
      </s:c>
      <s:c r="B21" s="8" t="str">
        <s:f>'Presupuesto'!B18</s:f>
        <s:v>Tuberías de gas</s:v>
      </s:c>
      <s:c r="C21" s="8" t="str">
        <s:f>'Presupuesto'!C18</s:f>
        <s:v>Limpieza de tuberías de cobre</s:v>
      </s:c>
      <s:c r="D21" s="9" t="str">
        <s:f>'Presupuesto'!D18</s:f>
        <s:v>ml</s:v>
      </s:c>
      <s:c r="E21" s="10" t="n">
        <s:f>'Presupuesto'!E18</s:f>
        <s:v>200</s:v>
      </s:c>
      <s:c r="F21" s="10" t="n">
        <s:v>0</s:v>
      </s:c>
      <s:c r="G21" s="10" t="n">
        <s:f>SUMIFS('Consolidado reportes'!$J$6:$J$30,'Consolidado reportes'!$K$6:$K$30,A21)-F21</s:f>
        <s:v>0.000000</s:v>
      </s:c>
      <s:c r="H21" s="10" t="n">
        <s:f>F21+G21</s:f>
        <s:v>0.000000</s:v>
      </s:c>
      <s:c r="I21" s="11" t="n">
        <s:f>'Presupuesto'!F18</s:f>
        <s:v>5607.455038451591</s:v>
      </s:c>
      <s:c r="J21" s="11" t="n">
        <s:f>G21*I21</s:f>
        <s:v>0E-18</s:v>
      </s:c>
      <s:c r="K21" s="10" t="n">
        <s:f>E21-H21</s:f>
        <s:v>200.000000</s:v>
      </s:c>
      <s:c r="L21" s="11" t="n">
        <s:f>K21*I21</s:f>
        <s:v>1121491.007690318200000000</s:v>
      </s:c>
      <s:c r="M21" s="12" t="n">
        <s:f>H21/E21</s:f>
        <s:v>0.000000</s:v>
      </s:c>
    </s:row>
    <s:row r="22" ht="81.19999999999999" customHeight="1">
      <s:c r="A22" s="13" t="n">
        <s:v>14</s:v>
      </s:c>
      <s:c r="B22" s="1" t="str">
        <s:f>'Presupuesto'!B19</s:f>
        <s:v>Rejillas</s:v>
      </s:c>
      <s:c r="C22" s="1" t="str">
        <s:f>'Presupuesto'!C19</s:f>
        <s:v>Limpieza de rejillas de contadores</s:v>
      </s:c>
      <s:c r="D22" s="14" t="str">
        <s:f>'Presupuesto'!D19</s:f>
        <s:v>m²</s:v>
      </s:c>
      <s:c r="E22" s="15" t="n">
        <s:f>'Presupuesto'!E19</s:f>
        <s:v>40</s:v>
      </s:c>
      <s:c r="F22" s="15" t="n">
        <s:v>0</s:v>
      </s:c>
      <s:c r="G22" s="15" t="n">
        <s:f>SUMIFS('Consolidado reportes'!$J$6:$J$30,'Consolidado reportes'!$K$6:$K$30,A22)-F22</s:f>
        <s:v>0.000000</s:v>
      </s:c>
      <s:c r="H22" s="15" t="n">
        <s:f>F22+G22</s:f>
        <s:v>0.000000</s:v>
      </s:c>
      <s:c r="I22" s="16" t="n">
        <s:f>'Presupuesto'!F19</s:f>
        <s:v>9668.02592836481</s:v>
      </s:c>
      <s:c r="J22" s="16" t="n">
        <s:f>G22*I22</s:f>
        <s:v>0E-17</s:v>
      </s:c>
      <s:c r="K22" s="15" t="n">
        <s:f>E22-H22</s:f>
        <s:v>40.000000</s:v>
      </s:c>
      <s:c r="L22" s="16" t="n">
        <s:f>K22*I22</s:f>
        <s:v>386721.03713459240000000</s:v>
      </s:c>
      <s:c r="M22" s="17" t="n">
        <s:f>H22/E22</s:f>
        <s:v>0.000000</s:v>
      </s:c>
    </s:row>
    <s:row r="23" ht="12" customHeight="1">
      <s:c r="A23" s="1" t="n"/>
      <s:c r="B23" s="1" t="n"/>
      <s:c r="C23" s="1" t="n"/>
      <s:c r="D23" s="1" t="n"/>
      <s:c r="E23" s="1" t="n"/>
      <s:c r="F23" s="1" t="n"/>
      <s:c r="G23" s="1" t="n"/>
      <s:c r="H23" s="1" t="n"/>
      <s:c r="I23" s="1" t="n"/>
      <s:c r="J23" s="1" t="n"/>
      <s:c r="K23" s="1" t="n"/>
      <s:c r="L23" s="1" t="n"/>
      <s:c r="M23" s="1" t="n"/>
    </s:row>
    <s:row r="24" ht="12" customHeight="1">
      <s:c r="A24" s="1" t="n"/>
      <s:c r="B24" s="1" t="n"/>
      <s:c r="C24" s="1" t="n"/>
      <s:c r="D24" s="1" t="n"/>
      <s:c r="E24" s="1" t="n"/>
      <s:c r="F24" s="1" t="n"/>
      <s:c r="G24" s="1" t="n"/>
      <s:c r="H24" s="1" t="n"/>
      <s:c r="I24" s="1" t="n"/>
      <s:c r="J24" s="1" t="n"/>
      <s:c r="K24" s="1" t="n"/>
      <s:c r="L24" s="1" t="n"/>
      <s:c r="M24" s="1" t="n"/>
    </s:row>
    <s:row r="25" ht="42" customHeight="1">
      <s:c r="A25" s="1" t="n"/>
      <s:c r="B25" s="1" t="n"/>
      <s:c r="C25" s="1" t="n"/>
      <s:c r="D25" s="1" t="n"/>
      <s:c r="E25" s="1" t="n"/>
      <s:c r="F25" s="1" t="n"/>
      <s:c r="G25" s="1" t="n"/>
      <s:c r="H25" s="1" t="n"/>
      <s:c r="I25" s="1" t="n"/>
      <s:c r="J25" s="1" t="n"/>
      <s:c r="K25" s="1" t="n"/>
      <s:c r="L25" s="18" t="inlineStr">
        <s:is>
          <s:t>Porcentaje</s:t>
        </s:is>
      </s:c>
      <s:c r="M25" s="18" t="inlineStr">
        <s:is>
          <s:t>Base</s:t>
        </s:is>
      </s:c>
    </s:row>
    <s:row r="26" ht="35" customHeight="1">
      <s:c r="A26" s="1" t="n"/>
      <s:c r="B26" s="4" t="inlineStr">
        <s:is>
          <s:t>Costos directos ejecutados</s:t>
        </s:is>
      </s:c>
      <s:c r="C26" s="1" t="n"/>
      <s:c r="D26" s="1" t="n"/>
      <s:c r="E26" s="1" t="n"/>
      <s:c r="F26" s="1" t="n"/>
      <s:c r="G26" s="1" t="n"/>
      <s:c r="H26" s="1" t="n"/>
      <s:c r="I26" s="16" t="n">
        <s:f>SUM(J9:J22)</s:f>
        <s:v>52498540.9541323275080000000</s:v>
      </s:c>
      <s:c r="J26" s="1" t="n"/>
      <s:c r="K26" s="1" t="n"/>
      <s:c r="L26" s="1" t="n"/>
      <s:c r="M26" s="1" t="n"/>
    </s:row>
    <s:row r="27" ht="35" customHeight="1">
      <s:c r="A27" s="1" t="n"/>
      <s:c r="B27" s="4" t="inlineStr">
        <s:is>
          <s:t>Administración</s:t>
        </s:is>
      </s:c>
      <s:c r="C27" s="1" t="n"/>
      <s:c r="D27" s="1" t="n"/>
      <s:c r="E27" s="1" t="n"/>
      <s:c r="F27" s="1" t="n"/>
      <s:c r="G27" s="1" t="n"/>
      <s:c r="H27" s="1" t="n"/>
      <s:c r="I27" s="16" t="n">
        <s:f>I26*L27</s:f>
        <s:v>5249854.09541323275080000000</s:v>
      </s:c>
      <s:c r="J27" s="1" t="n"/>
      <s:c r="K27" s="1" t="n"/>
      <s:c r="L27" s="17" t="n">
        <s:f>'Presupuesto'!E23</s:f>
        <s:v>0.1</s:v>
      </s:c>
      <s:c r="M27" s="1" t="n"/>
    </s:row>
    <s:row r="28" ht="35" customHeight="1">
      <s:c r="A28" s="1" t="n"/>
      <s:c r="B28" s="4" t="inlineStr">
        <s:is>
          <s:t>Imprevistos</s:t>
        </s:is>
      </s:c>
      <s:c r="C28" s="1" t="n"/>
      <s:c r="D28" s="1" t="n"/>
      <s:c r="E28" s="1" t="n"/>
      <s:c r="F28" s="1" t="n"/>
      <s:c r="G28" s="1" t="n"/>
      <s:c r="H28" s="1" t="n"/>
      <s:c r="I28" s="16" t="n">
        <s:f>I26*L28</s:f>
        <s:v>2099941.638165293100320000000</s:v>
      </s:c>
      <s:c r="J28" s="1" t="n"/>
      <s:c r="K28" s="1" t="n"/>
      <s:c r="L28" s="17" t="n">
        <s:f>'Presupuesto'!E24</s:f>
        <s:v>0.04</s:v>
      </s:c>
      <s:c r="M28" s="1" t="n"/>
    </s:row>
    <s:row r="29" ht="35" customHeight="1">
      <s:c r="A29" s="1" t="n"/>
      <s:c r="B29" s="4" t="inlineStr">
        <s:is>
          <s:t>Utilidad</s:t>
        </s:is>
      </s:c>
      <s:c r="C29" s="1" t="n"/>
      <s:c r="D29" s="1" t="n"/>
      <s:c r="E29" s="1" t="n"/>
      <s:c r="F29" s="1" t="n"/>
      <s:c r="G29" s="1" t="n"/>
      <s:c r="H29" s="1" t="n"/>
      <s:c r="I29" s="16" t="n">
        <s:f>I26*L29</s:f>
        <s:v>2624927.047706616375400000000</s:v>
      </s:c>
      <s:c r="J29" s="1" t="n"/>
      <s:c r="K29" s="1" t="n"/>
      <s:c r="L29" s="17" t="n">
        <s:f>'Presupuesto'!E25</s:f>
        <s:v>0.05</s:v>
      </s:c>
      <s:c r="M29" s="1" t="n"/>
    </s:row>
    <s:row r="30" ht="35" customHeight="1">
      <s:c r="A30" s="1" t="n"/>
      <s:c r="B30" s="4" t="inlineStr">
        <s:is>
          <s:t>IVA sobre utilidad</s:t>
        </s:is>
      </s:c>
      <s:c r="C30" s="1" t="n"/>
      <s:c r="D30" s="1" t="n"/>
      <s:c r="E30" s="1" t="n"/>
      <s:c r="F30" s="1" t="n"/>
      <s:c r="G30" s="1" t="n"/>
      <s:c r="H30" s="1" t="n"/>
      <s:c r="I30" s="16" t="n">
        <s:f>I29*L30</s:f>
        <s:v>498736.1390642571113260000000</s:v>
      </s:c>
      <s:c r="J30" s="1" t="n"/>
      <s:c r="K30" s="1" t="n"/>
      <s:c r="L30" s="17" t="n">
        <s:f>'Presupuesto'!E26</s:f>
        <s:v>0.19</s:v>
      </s:c>
      <s:c r="M30" s="1" t="n"/>
    </s:row>
    <s:row r="31" ht="42" customHeight="1">
      <s:c r="A31" s="1" t="n"/>
      <s:c r="B31" s="18" t="inlineStr">
        <s:is>
          <s:t>Valor bruto del corte</s:t>
        </s:is>
      </s:c>
      <s:c r="C31" s="19" t="n"/>
      <s:c r="D31" s="19" t="n"/>
      <s:c r="E31" s="19" t="n"/>
      <s:c r="F31" s="19" t="n"/>
      <s:c r="G31" s="19" t="n"/>
      <s:c r="H31" s="19" t="n"/>
      <s:c r="I31" s="20" t="n">
        <s:f>SUM(I26:I30)</s:f>
        <s:v>62971999.87448172684584600000</s:v>
      </s:c>
      <s:c r="J31" s="1" t="n"/>
      <s:c r="K31" s="1" t="n"/>
      <s:c r="L31" s="1" t="n"/>
      <s:c r="M31" s="1" t="n"/>
    </s:row>
    <s:row r="32" ht="35" customHeight="1">
      <s:c r="A32" s="1" t="n"/>
      <s:c r="B32" s="4" t="inlineStr">
        <s:is>
          <s:t>Amortización del anticipo</s:t>
        </s:is>
      </s:c>
      <s:c r="C32" s="1" t="n"/>
      <s:c r="D32" s="1" t="n"/>
      <s:c r="E32" s="1" t="n"/>
      <s:c r="F32" s="1" t="n"/>
      <s:c r="G32" s="1" t="n"/>
      <s:c r="H32" s="1" t="n"/>
      <s:c r="I32" s="16" t="n">
        <s:f>IF(M32="bruto",I31,IF(M32="directos",I26,IF(M32="utilidad",I29,NA())))*L32</s:f>
        <s:v>6297199.987448172684584600000</s:v>
      </s:c>
      <s:c r="J32" s="1" t="n"/>
      <s:c r="K32" s="1" t="n"/>
      <s:c r="L32" s="21" t="n">
        <s:v>0.1</s:v>
      </s:c>
      <s:c r="M32" s="1" t="inlineStr">
        <s:is>
          <s:t>bruto</s:t>
        </s:is>
      </s:c>
    </s:row>
    <s:row r="33" ht="35" customHeight="1">
      <s:c r="A33" s="1" t="n"/>
      <s:c r="B33" s="4" t="inlineStr">
        <s:is>
          <s:t>Retención en la fuente</s:t>
        </s:is>
      </s:c>
      <s:c r="C33" s="1" t="n"/>
      <s:c r="D33" s="1" t="n"/>
      <s:c r="E33" s="1" t="n"/>
      <s:c r="F33" s="1" t="n"/>
      <s:c r="G33" s="1" t="n"/>
      <s:c r="H33" s="1" t="n"/>
      <s:c r="I33" s="16" t="n">
        <s:f>(I31-I30)*L33</s:f>
        <s:v>1249465.274708349394690400000</s:v>
      </s:c>
      <s:c r="J33" s="1" t="n"/>
      <s:c r="K33" s="1" t="n"/>
      <s:c r="L33" s="21" t="n">
        <s:v>0.02</s:v>
      </s:c>
      <s:c r="M33" s="1" t="inlineStr">
        <s:is>
          <s:t>Bruto menos IVA</s:t>
        </s:is>
      </s:c>
    </s:row>
    <s:row r="34" ht="35" customHeight="1">
      <s:c r="A34" s="1" t="n"/>
      <s:c r="B34" s="4" t="inlineStr">
        <s:is>
          <s:t>Retención de garantía</s:t>
        </s:is>
      </s:c>
      <s:c r="C34" s="1" t="n"/>
      <s:c r="D34" s="1" t="n"/>
      <s:c r="E34" s="1" t="n"/>
      <s:c r="F34" s="1" t="n"/>
      <s:c r="G34" s="1" t="n"/>
      <s:c r="H34" s="1" t="n"/>
      <s:c r="I34" s="16" t="n">
        <s:f>IF(M34="bruto",I31,IF(M34="directos",I26,IF(M34="utilidad",I29,NA())))*L34</s:f>
        <s:v>6297199.987448172684584600000</s:v>
      </s:c>
      <s:c r="J34" s="1" t="n"/>
      <s:c r="K34" s="1" t="n"/>
      <s:c r="L34" s="21" t="n">
        <s:v>0.1</s:v>
      </s:c>
      <s:c r="M34" s="1" t="inlineStr">
        <s:is>
          <s:t>bruto</s:t>
        </s:is>
      </s:c>
    </s:row>
    <s:row r="35" ht="35" customHeight="1">
      <s:c r="A35" s="1" t="n"/>
      <s:c r="B35" s="4" t="inlineStr">
        <s:is>
          <s:t>Otros descuentos</s:t>
        </s:is>
      </s:c>
      <s:c r="C35" s="1" t="n"/>
      <s:c r="D35" s="1" t="n"/>
      <s:c r="E35" s="1" t="n"/>
      <s:c r="F35" s="1" t="n"/>
      <s:c r="G35" s="1" t="n"/>
      <s:c r="H35" s="1" t="n"/>
      <s:c r="I35" s="22" t="n">
        <s:v>0</s:v>
      </s:c>
      <s:c r="J35" s="1" t="n"/>
      <s:c r="K35" s="1" t="n"/>
      <s:c r="L35" s="1" t="n"/>
      <s:c r="M35" s="1" t="n"/>
    </s:row>
    <s:row r="36" ht="42" customHeight="1">
      <s:c r="A36" s="1" t="n"/>
      <s:c r="B36" s="18" t="inlineStr">
        <s:is>
          <s:t>Valor neto a pagar</s:t>
        </s:is>
      </s:c>
      <s:c r="C36" s="19" t="n"/>
      <s:c r="D36" s="19" t="n"/>
      <s:c r="E36" s="19" t="n"/>
      <s:c r="F36" s="19" t="n"/>
      <s:c r="G36" s="19" t="n"/>
      <s:c r="H36" s="19" t="n"/>
      <s:c r="I36" s="20" t="n">
        <s:f>I31-SUM(I32:I35)</s:f>
        <s:v>49128134.62487703208198640000</s:v>
      </s:c>
      <s:c r="J36" s="1" t="n"/>
      <s:c r="K36" s="1" t="n"/>
      <s:c r="L36" s="1" t="n"/>
      <s:c r="M36" s="1" t="n"/>
    </s:row>
    <s:row r="37" ht="25" customHeight="1">
      <s:c r="A37" s="1" t="n"/>
      <s:c r="B37" s="1" t="n"/>
      <s:c r="C37" s="1" t="n"/>
      <s:c r="D37" s="1" t="n"/>
      <s:c r="E37" s="1" t="n"/>
      <s:c r="F37" s="1" t="n"/>
      <s:c r="G37" s="1" t="n"/>
      <s:c r="H37" s="1" t="n"/>
      <s:c r="I37" s="1" t="n"/>
      <s:c r="J37" s="1" t="n"/>
      <s:c r="K37" s="1" t="n"/>
      <s:c r="L37" s="1" t="n"/>
      <s:c r="M37" s="1" t="n"/>
    </s:row>
    <s:row r="38" ht="35" customHeight="1">
      <s:c r="A38" s="1" t="n"/>
      <s:c r="B38" s="4" t="inlineStr">
        <s:is>
          <s:t>Valor total contratado</s:t>
        </s:is>
      </s:c>
      <s:c r="C38" s="1" t="n"/>
      <s:c r="D38" s="1" t="n"/>
      <s:c r="E38" s="1" t="n"/>
      <s:c r="F38" s="1" t="n"/>
      <s:c r="G38" s="1" t="n"/>
      <s:c r="H38" s="1" t="n"/>
      <s:c r="I38" s="16" t="n">
        <s:f>'Presupuesto'!G29</s:f>
        <s:v>170000000.00000000229421000</s:v>
      </s:c>
      <s:c r="J38" s="1" t="n"/>
      <s:c r="K38" s="1" t="n"/>
      <s:c r="L38" s="1" t="n"/>
      <s:c r="M38" s="1" t="n"/>
    </s:row>
    <s:row r="39" ht="35" customHeight="1">
      <s:c r="A39" s="1" t="n"/>
      <s:c r="B39" s="4" t="inlineStr">
        <s:is>
          <s:t>Valor ejecutado acumulado (AIU e IVA)</s:t>
        </s:is>
      </s:c>
      <s:c r="C39" s="1" t="n"/>
      <s:c r="D39" s="1" t="n"/>
      <s:c r="E39" s="1" t="n"/>
      <s:c r="F39" s="1" t="n"/>
      <s:c r="G39" s="1" t="n"/>
      <s:c r="H39" s="1" t="n"/>
      <s:c r="I39" s="16" t="n">
        <s:f>SUMPRODUCT(H9:H22,I9:I22)*(1+L27+L28+L29*(1+L30))</s:f>
        <s:v>62971999.87448172684584600000</s:v>
      </s:c>
      <s:c r="J39" s="1" t="n"/>
      <s:c r="K39" s="1" t="n"/>
      <s:c r="L39" s="1" t="n"/>
      <s:c r="M39" s="1" t="n"/>
    </s:row>
    <s:row r="40" ht="35" customHeight="1">
      <s:c r="A40" s="1" t="n"/>
      <s:c r="B40" s="4" t="inlineStr">
        <s:is>
          <s:t>Valor pendiente por ejecutar (AIU e IVA)</s:t>
        </s:is>
      </s:c>
      <s:c r="C40" s="1" t="n"/>
      <s:c r="D40" s="1" t="n"/>
      <s:c r="E40" s="1" t="n"/>
      <s:c r="F40" s="1" t="n"/>
      <s:c r="G40" s="1" t="n"/>
      <s:c r="H40" s="1" t="n"/>
      <s:c r="I40" s="16" t="n">
        <s:f>I38-I39</s:f>
        <s:v>107028000.1255182754483640000</s:v>
      </s:c>
      <s:c r="J40" s="1" t="n"/>
      <s:c r="K40" s="1" t="n"/>
      <s:c r="L40" s="1" t="n"/>
      <s:c r="M40" s="1" t="n"/>
    </s:row>
    <s:row r="41" ht="25" customHeight="1">
      <s:c r="A41" s="1" t="n"/>
      <s:c r="B41" s="1" t="n"/>
      <s:c r="C41" s="1" t="n"/>
      <s:c r="D41" s="1" t="n"/>
      <s:c r="E41" s="1" t="n"/>
      <s:c r="F41" s="1" t="n"/>
      <s:c r="G41" s="1" t="n"/>
      <s:c r="H41" s="1" t="n"/>
      <s:c r="I41" s="1" t="n"/>
      <s:c r="J41" s="1" t="n"/>
      <s:c r="K41" s="1" t="n"/>
      <s:c r="L41" s="1" t="n"/>
      <s:c r="M41" s="1" t="n"/>
    </s:row>
    <s:row r="42" ht="25" customHeight="1">
      <s:c r="A42" s="1" t="n"/>
      <s:c r="B42" s="1" t="n"/>
      <s:c r="C42" s="1" t="n"/>
      <s:c r="D42" s="1" t="n"/>
      <s:c r="E42" s="1" t="n"/>
      <s:c r="F42" s="1" t="n"/>
      <s:c r="G42" s="1" t="n"/>
      <s:c r="H42" s="1" t="n"/>
      <s:c r="I42" s="1" t="n"/>
      <s:c r="J42" s="1" t="n"/>
      <s:c r="K42" s="1" t="n"/>
      <s:c r="L42" s="1" t="n"/>
      <s:c r="M42" s="1" t="n"/>
    </s:row>
    <s:row r="43" ht="35" customHeight="1">
      <s:c r="A43" s="1" t="n"/>
      <s:c r="B43" s="4" t="inlineStr">
        <s:is>
          <s:t>Fecha inicial</s:t>
        </s:is>
      </s:c>
      <s:c r="C43" s="1" t="n"/>
      <s:c r="D43" s="1" t="n"/>
      <s:c r="E43" s="1" t="n"/>
      <s:c r="F43" s="1" t="n"/>
      <s:c r="G43" s="1" t="n"/>
      <s:c r="H43" s="1" t="n"/>
      <s:c r="I43" s="23" t="n">
        <s:v>46258</s:v>
      </s:c>
      <s:c r="J43" s="1" t="n"/>
      <s:c r="K43" s="1" t="n"/>
      <s:c r="L43" s="1" t="n"/>
      <s:c r="M43" s="1" t="n"/>
    </s:row>
    <s:row r="44" ht="35" customHeight="1">
      <s:c r="A44" s="1" t="n"/>
      <s:c r="B44" s="4" t="inlineStr">
        <s:is>
          <s:t>Fecha final</s:t>
        </s:is>
      </s:c>
      <s:c r="C44" s="1" t="n"/>
      <s:c r="D44" s="1" t="n"/>
      <s:c r="E44" s="1" t="n"/>
      <s:c r="F44" s="1" t="n"/>
      <s:c r="G44" s="1" t="n"/>
      <s:c r="H44" s="1" t="n"/>
      <s:c r="I44" s="23" t="n">
        <s:v>46284</s:v>
      </s:c>
      <s:c r="J44" s="1" t="n"/>
      <s:c r="K44" s="1" t="n"/>
      <s:c r="L44" s="1" t="n"/>
      <s:c r="M44" s="1" t="n"/>
    </s:row>
    <s:row r="45" ht="35" customHeight="1">
      <s:c r="A45" s="1" t="n"/>
      <s:c r="B45" s="4" t="inlineStr">
        <s:is>
          <s:t>Número de corte</s:t>
        </s:is>
      </s:c>
      <s:c r="C45" s="1" t="n"/>
      <s:c r="D45" s="1" t="n"/>
      <s:c r="E45" s="1" t="n"/>
      <s:c r="F45" s="1" t="n"/>
      <s:c r="G45" s="1" t="n"/>
      <s:c r="H45" s="1" t="n"/>
      <s:c r="I45" s="13" t="n">
        <s:v>1</s:v>
      </s:c>
      <s:c r="J45" s="1" t="n"/>
      <s:c r="K45" s="1" t="n"/>
      <s:c r="L45" s="1" t="n"/>
      <s:c r="M45" s="1" t="n"/>
    </s:row>
    <s:row r="46" ht="35" customHeight="1">
      <s:c r="A46" s="1" t="n"/>
      <s:c r="B46" s="4" t="inlineStr">
        <s:is>
          <s:t>Fecha y hora de generación</s:t>
        </s:is>
      </s:c>
      <s:c r="C46" s="1" t="n"/>
      <s:c r="D46" s="1" t="n"/>
      <s:c r="E46" s="1" t="n"/>
      <s:c r="F46" s="1" t="n"/>
      <s:c r="G46" s="1" t="n"/>
      <s:c r="H46" s="1" t="n"/>
      <s:c r="I46" s="24" t="n">
        <s:v>46287.531875</s:v>
      </s:c>
      <s:c r="J46" s="1" t="n"/>
      <s:c r="K46" s="1" t="n"/>
      <s:c r="L46" s="1" t="n"/>
      <s:c r="M46" s="1" t="n"/>
    </s:row>
  </s:sheetData>
  <s:autoFilter ref="A8:M22"/>
  <s:mergeCells count="1">
    <s:mergeCell ref="A2:C2"/>
  </s:mergeCells>
  <s:conditionalFormatting sqref="G9:G22">
    <s:cfRule type="cellIs" priority="1" operator="lessThan" dxfId="0">
      <s:formula>0</s:formula>
    </s:cfRule>
  </s:conditionalFormatting>
  <s:conditionalFormatting sqref="M9:M22">
    <s:cfRule type="cellIs" priority="2" operator="greaterThan" dxfId="0">
      <s:formula>1</s:formula>
    </s:cfRule>
  </s:conditionalFormatting>
  <s:printOptions horizontalCentered="1"/>
  <s:pageMargins left="0.25" right="0.25" top="1" bottom="1" header="0.5" footer="0.5"/>
  <s:pageSetup orientation="landscape" paperSize="8" scale="100"/>
  <s:headerFooter>
    <s:oddHeader/>
    <s:oddFooter>&amp;C&amp;14 Página &amp;P de &amp;N</s:oddFooter>
    <s:evenHeader/>
    <s:evenFooter/>
    <s:firstHeader/>
    <s:firstFooter/>
  </s:headerFooter>
  <s:drawing r:id="rId1"/>
</s:worksheet>
</file>

<file path=xl/worksheets/sheet2.xml><?xml version="1.0" encoding="utf-8"?>
<s:worksheet xmlns:s="http://schemas.openxmlformats.org/spreadsheetml/2006/main">
  <s:sheetPr>
    <s:outlinePr summaryBelow="1" summaryRight="1"/>
    <s:pageSetUpPr fitToPage="0"/>
  </s:sheetPr>
  <s:dimension ref="A1:K46"/>
  <s:sheetViews>
    <s:sheetView showGridLines="0" workbookViewId="0">
      <s:selection activeCell="A1" sqref="A1"/>
    </s:sheetView>
  </s:sheetViews>
  <s:sheetFormatPr baseColWidth="8" defaultRowHeight="15"/>
  <s:cols>
    <s:col width="19.6" customWidth="1" min="1" max="1"/>
    <s:col width="79.8" customWidth="1" min="2" max="2"/>
    <s:col width="22.4" customWidth="1" min="3" max="3"/>
    <s:col width="16.8" customWidth="1" min="4" max="4"/>
    <s:col width="25.2" customWidth="1" min="5" max="5"/>
    <s:col width="32.2" customWidth="1" min="6" max="6"/>
    <s:col width="32.2" customWidth="1" min="7" max="7"/>
    <s:col width="32.2" customWidth="1" min="8" max="8"/>
    <s:col width="32.2" customWidth="1" min="9" max="9"/>
    <s:col width="28" customWidth="1" min="10" max="10"/>
    <s:col width="21" customWidth="1" min="11" max="11"/>
  </s:cols>
  <s:sheetData>
    <s:row r="1" ht="25" customHeight="1">
      <s:c r="A1" s="1" t="n"/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</s:row>
    <s:row r="2" ht="29" customHeight="1">
      <s:c r="A2" s="2" t="inlineStr">
        <s:is>
          <s:t>Consolidado por WBS</s:t>
        </s:is>
      </s:c>
      <s:c r="B2" s="3" t="n"/>
      <s:c r="C2" s="3" t="n"/>
      <s:c r="D2" s="1" t="n"/>
      <s:c r="E2" s="1" t="n"/>
      <s:c r="F2" s="1" t="n"/>
      <s:c r="G2" s="1" t="n"/>
      <s:c r="H2" s="1" t="n"/>
      <s:c r="I2" s="1" t="n"/>
      <s:c r="J2" s="1" t="n"/>
      <s:c r="K2" s="1" t="n"/>
    </s:row>
    <s:row r="3" ht="25" customHeight="1">
      <s:c r="A3" s="4" t="inlineStr">
        <s:is>
          <s:t>Fuente: DATOS. Las columnas semanales son cantidades ejecutadas; se incluyen semanas anteriores para calcular el acumulado.</s:t>
        </s:is>
      </s:c>
      <s:c r="B3" s="1" t="n"/>
      <s:c r="C3" s="1" t="n"/>
      <s:c r="D3" s="1" t="n"/>
      <s:c r="E3" s="1" t="n"/>
      <s:c r="F3" s="1" t="n"/>
      <s:c r="G3" s="1" t="n"/>
      <s:c r="H3" s="1" t="n"/>
      <s:c r="I3" s="1" t="n"/>
      <s:c r="J3" s="1" t="n"/>
      <s:c r="K3" s="1" t="n"/>
    </s:row>
    <s:row r="4" ht="25" customHeight="1">
      <s:c r="A4" s="1" t="n"/>
      <s:c r="B4" s="1" t="n"/>
      <s:c r="C4" s="1" t="n"/>
      <s:c r="D4" s="1" t="n"/>
      <s:c r="E4" s="1" t="n"/>
      <s:c r="F4" s="1" t="n"/>
      <s:c r="G4" s="1" t="n"/>
      <s:c r="H4" s="1" t="n"/>
      <s:c r="I4" s="1" t="n"/>
      <s:c r="J4" s="1" t="n"/>
      <s:c r="K4" s="1" t="n"/>
    </s:row>
    <s:row r="5" ht="105" customHeight="1">
      <s:c r="A5" s="6" t="inlineStr">
        <s:is>
          <s:t>WBS</s:t>
        </s:is>
      </s:c>
      <s:c r="B5" s="6" t="inlineStr">
        <s:is>
          <s:t>Actividad</s:t>
        </s:is>
      </s:c>
      <s:c r="C5" s="6" t="inlineStr">
        <s:is>
          <s:t>Tramo</s:t>
        </s:is>
      </s:c>
      <s:c r="D5" s="6" t="inlineStr">
        <s:is>
          <s:t>Unidad</s:t>
        </s:is>
      </s:c>
      <s:c r="E5" s="6" t="inlineStr">
        <s:is>
          <s:t>Cantidad total del tramo</s:t>
        </s:is>
      </s:c>
      <s:c r="F5" s="6" t="inlineStr">
        <s:is>
          <s:t>Avance_Real_DARCA2_
24Ago-29Ago.xlsx</s:t>
        </s:is>
      </s:c>
      <s:c r="G5" s="6" t="inlineStr">
        <s:is>
          <s:t>Avance_Real_DARCA2_
31Ago-05Sep.xlsx</s:t>
        </s:is>
      </s:c>
      <s:c r="H5" s="6" t="inlineStr">
        <s:is>
          <s:t>Avance_Real_DARCA2_
7Sep-12Sep.xlsx</s:t>
        </s:is>
      </s:c>
      <s:c r="I5" s="6" t="inlineStr">
        <s:is>
          <s:t>Avance_Real_DARCA2_
14Sep-19Sep.xlsx</s:t>
        </s:is>
      </s:c>
      <s:c r="J5" s="6" t="inlineStr">
        <s:is>
          <s:t>Cantidad acumulada</s:t>
        </s:is>
      </s:c>
      <s:c r="K5" s="6" t="inlineStr">
        <s:is>
          <s:t>Ítem contractual</s:t>
        </s:is>
      </s:c>
    </s:row>
    <s:row r="6" ht="38" customHeight="1">
      <s:c r="A6" s="1" t="inlineStr">
        <s:is>
          <s:t>1.1.1</s:t>
        </s:is>
      </s:c>
      <s:c r="B6" s="1" t="inlineStr">
        <s:is>
          <s:t>Protección de ventanas con plástico</s:t>
        </s:is>
      </s:c>
      <s:c r="C6" s="1" t="inlineStr">
        <s:is>
          <s:t>TRAMO 1</s:t>
        </s:is>
      </s:c>
      <s:c r="D6" s="1" t="inlineStr">
        <s:is>
          <s:t>m²</s:t>
        </s:is>
      </s:c>
      <s:c r="E6" s="15" t="n">
        <s:v>900</s:v>
      </s:c>
      <s:c r="F6" s="15" t="n">
        <s:v>900</s:v>
      </s:c>
      <s:c r="G6" s="15" t="n">
        <s:v>0</s:v>
      </s:c>
      <s:c r="H6" s="15" t="n">
        <s:v>0</s:v>
      </s:c>
      <s:c r="I6" s="15" t="n">
        <s:v>0</s:v>
      </s:c>
      <s:c r="J6" s="15" t="n">
        <s:f>SUM(F6:I6)</s:f>
        <s:v>900.000000</s:v>
      </s:c>
      <s:c r="K6" s="13" t="n">
        <s:v>3</s:v>
      </s:c>
    </s:row>
    <s:row r="7" ht="38" customHeight="1">
      <s:c r="A7" s="1" t="inlineStr">
        <s:is>
          <s:t>1.1.2</s:t>
        </s:is>
      </s:c>
      <s:c r="B7" s="1" t="inlineStr">
        <s:is>
          <s:t>Limpieza de fachada en ladrillo - Prelavado</s:t>
        </s:is>
      </s:c>
      <s:c r="C7" s="1" t="inlineStr">
        <s:is>
          <s:t>TRAMO 1</s:t>
        </s:is>
      </s:c>
      <s:c r="D7" s="1" t="inlineStr">
        <s:is>
          <s:t>m²</s:t>
        </s:is>
      </s:c>
      <s:c r="E7" s="15" t="n">
        <s:v>1872</s:v>
      </s:c>
      <s:c r="F7" s="15" t="n">
        <s:v>936</s:v>
      </s:c>
      <s:c r="G7" s="15" t="n">
        <s:v>936</s:v>
      </s:c>
      <s:c r="H7" s="15" t="n">
        <s:v>0</s:v>
      </s:c>
      <s:c r="I7" s="15" t="n">
        <s:v>0</s:v>
      </s:c>
      <s:c r="J7" s="15" t="n">
        <s:f>SUM(F7:I7)</s:f>
        <s:v>1872.000000</s:v>
      </s:c>
      <s:c r="K7" s="13" t="n">
        <s:v>1</s:v>
      </s:c>
    </s:row>
    <s:row r="8" ht="38" customHeight="1">
      <s:c r="A8" s="1" t="inlineStr">
        <s:is>
          <s:t>1.1.3</s:t>
        </s:is>
      </s:c>
      <s:c r="B8" s="1" t="inlineStr">
        <s:is>
          <s:t>Reemplazo de piezas rotas o deterioradas</s:t>
        </s:is>
      </s:c>
      <s:c r="C8" s="1" t="inlineStr">
        <s:is>
          <s:t>TRAMO 1</s:t>
        </s:is>
      </s:c>
      <s:c r="D8" s="1" t="inlineStr">
        <s:is>
          <s:t>und</s:t>
        </s:is>
      </s:c>
      <s:c r="E8" s="15" t="n">
        <s:v>268</s:v>
      </s:c>
      <s:c r="F8" s="15" t="n">
        <s:v>0</s:v>
      </s:c>
      <s:c r="G8" s="15" t="n">
        <s:v>0</s:v>
      </s:c>
      <s:c r="H8" s="15" t="n">
        <s:v>238</s:v>
      </s:c>
      <s:c r="I8" s="15" t="n">
        <s:v>30</s:v>
      </s:c>
      <s:c r="J8" s="15" t="n">
        <s:f>SUM(F8:I8)</s:f>
        <s:v>268.000000</s:v>
      </s:c>
      <s:c r="K8" s="13" t="n">
        <s:v>2</s:v>
      </s:c>
    </s:row>
    <s:row r="9" ht="53.2" customHeight="1">
      <s:c r="A9" s="1" t="inlineStr">
        <s:is>
          <s:t>1.1.4</s:t>
        </s:is>
      </s:c>
      <s:c r="B9" s="1" t="inlineStr">
        <s:is>
          <s:t>Suministro y aplicación de mortero</s:t>
        </s:is>
      </s:c>
      <s:c r="C9" s="1" t="inlineStr">
        <s:is>
          <s:t>TRAMO 1</s:t>
        </s:is>
      </s:c>
      <s:c r="D9" s="1" t="inlineStr">
        <s:is>
          <s:t>m²</s:t>
        </s:is>
      </s:c>
      <s:c r="E9" s="15" t="n">
        <s:v>1872</s:v>
      </s:c>
      <s:c r="F9" s="15" t="n">
        <s:v>0</s:v>
      </s:c>
      <s:c r="G9" s="15" t="n">
        <s:v>1872</s:v>
      </s:c>
      <s:c r="H9" s="15" t="n">
        <s:v>0</s:v>
      </s:c>
      <s:c r="I9" s="15" t="n">
        <s:v>0</s:v>
      </s:c>
      <s:c r="J9" s="15" t="n">
        <s:f>SUM(F9:I9)</s:f>
        <s:v>1872.000000</s:v>
      </s:c>
      <s:c r="K9" s="13" t="n">
        <s:v>4</s:v>
      </s:c>
    </s:row>
    <s:row r="10" ht="53.2" customHeight="1">
      <s:c r="A10" s="1" t="inlineStr">
        <s:is>
          <s:t>1.1.5</s:t>
        </s:is>
      </s:c>
      <s:c r="B10" s="1" t="inlineStr">
        <s:is>
          <s:t>Lavado con rinse o ácido especializado</s:t>
        </s:is>
      </s:c>
      <s:c r="C10" s="1" t="inlineStr">
        <s:is>
          <s:t>TRAMO 1</s:t>
        </s:is>
      </s:c>
      <s:c r="D10" s="1" t="inlineStr">
        <s:is>
          <s:t>m²</s:t>
        </s:is>
      </s:c>
      <s:c r="E10" s="15" t="n">
        <s:v>1872</s:v>
      </s:c>
      <s:c r="F10" s="15" t="n">
        <s:v>0</s:v>
      </s:c>
      <s:c r="G10" s="15" t="n">
        <s:v>0</s:v>
      </s:c>
      <s:c r="H10" s="15" t="n">
        <s:v>1310.4</s:v>
      </s:c>
      <s:c r="I10" s="15" t="n">
        <s:v>561.6</s:v>
      </s:c>
      <s:c r="J10" s="15" t="n">
        <s:f>SUM(F10:I10)</s:f>
        <s:v>1872.000000</s:v>
      </s:c>
      <s:c r="K10" s="13" t="n">
        <s:v>5</s:v>
      </s:c>
    </s:row>
    <s:row r="11" ht="53.2" customHeight="1">
      <s:c r="A11" s="1" t="inlineStr">
        <s:is>
          <s:t>1.1.6</s:t>
        </s:is>
      </s:c>
      <s:c r="B11" s="1" t="inlineStr">
        <s:is>
          <s:t>Aplicación SIKA impermeabilizante 10 años</s:t>
        </s:is>
      </s:c>
      <s:c r="C11" s="1" t="inlineStr">
        <s:is>
          <s:t>TRAMO 1</s:t>
        </s:is>
      </s:c>
      <s:c r="D11" s="1" t="inlineStr">
        <s:is>
          <s:t>m²</s:t>
        </s:is>
      </s:c>
      <s:c r="E11" s="15" t="n">
        <s:v>1872</s:v>
      </s:c>
      <s:c r="F11" s="15" t="n">
        <s:v>0</s:v>
      </s:c>
      <s:c r="G11" s="15" t="n">
        <s:v>0</s:v>
      </s:c>
      <s:c r="H11" s="15" t="n">
        <s:v>0</s:v>
      </s:c>
      <s:c r="I11" s="15" t="n">
        <s:v>1872</s:v>
      </s:c>
      <s:c r="J11" s="15" t="n">
        <s:f>SUM(F11:I11)</s:f>
        <s:v>1872.000000</s:v>
      </s:c>
      <s:c r="K11" s="13" t="n">
        <s:v>6</s:v>
      </s:c>
    </s:row>
    <s:row r="12" ht="53.2" customHeight="1">
      <s:c r="A12" s="1" t="inlineStr">
        <s:is>
          <s:t>1.1.7</s:t>
        </s:is>
      </s:c>
      <s:c r="B12" s="1" t="inlineStr">
        <s:is>
          <s:t>Pintura de marcos y flanches, aplicación de silicona antihongos</s:t>
        </s:is>
      </s:c>
      <s:c r="C12" s="1" t="inlineStr">
        <s:is>
          <s:t>TRAMO 1</s:t>
        </s:is>
      </s:c>
      <s:c r="D12" s="1" t="inlineStr">
        <s:is>
          <s:t>ml</s:t>
        </s:is>
      </s:c>
      <s:c r="E12" s="15" t="n">
        <s:v>624</s:v>
      </s:c>
      <s:c r="F12" s="15" t="n">
        <s:v>0</s:v>
      </s:c>
      <s:c r="G12" s="15" t="n">
        <s:v>0</s:v>
      </s:c>
      <s:c r="H12" s="15" t="n">
        <s:v>0</s:v>
      </s:c>
      <s:c r="I12" s="15" t="n">
        <s:v>0</s:v>
      </s:c>
      <s:c r="J12" s="15" t="n">
        <s:f>SUM(F12:I12)</s:f>
        <s:v>0.000000</s:v>
      </s:c>
      <s:c r="K12" s="13" t="n">
        <s:v>9</s:v>
      </s:c>
    </s:row>
    <s:row r="13" ht="53.2" customHeight="1">
      <s:c r="A13" s="1" t="inlineStr">
        <s:is>
          <s:t>1.1.8</s:t>
        </s:is>
      </s:c>
      <s:c r="B13" s="1" t="inlineStr">
        <s:is>
          <s:t>Lavado de vidrios, incluyendo flanches</s:t>
        </s:is>
      </s:c>
      <s:c r="C13" s="1" t="inlineStr">
        <s:is>
          <s:t>TRAMO 1</s:t>
        </s:is>
      </s:c>
      <s:c r="D13" s="1" t="inlineStr">
        <s:is>
          <s:t>m²</s:t>
        </s:is>
      </s:c>
      <s:c r="E13" s="15" t="n">
        <s:v>900</s:v>
      </s:c>
      <s:c r="F13" s="15" t="n">
        <s:v>0</s:v>
      </s:c>
      <s:c r="G13" s="15" t="n">
        <s:v>0</s:v>
      </s:c>
      <s:c r="H13" s="15" t="n">
        <s:v>0</s:v>
      </s:c>
      <s:c r="I13" s="15" t="n">
        <s:v>0</s:v>
      </s:c>
      <s:c r="J13" s="15" t="n">
        <s:f>SUM(F13:I13)</s:f>
        <s:v>0.000000</s:v>
      </s:c>
      <s:c r="K13" s="13" t="n">
        <s:v>8</s:v>
      </s:c>
    </s:row>
    <s:row r="14" ht="53.2" customHeight="1">
      <s:c r="A14" s="1" t="inlineStr">
        <s:is>
          <s:t>1.1.9</s:t>
        </s:is>
      </s:c>
      <s:c r="B14" s="1" t="inlineStr">
        <s:is>
          <s:t>Limpieza de tuberías de cobre</s:t>
        </s:is>
      </s:c>
      <s:c r="C14" s="1" t="inlineStr">
        <s:is>
          <s:t>TRAMO 1</s:t>
        </s:is>
      </s:c>
      <s:c r="D14" s="1" t="inlineStr">
        <s:is>
          <s:t>ml</s:t>
        </s:is>
      </s:c>
      <s:c r="E14" s="15" t="n">
        <s:v>100</s:v>
      </s:c>
      <s:c r="F14" s="15" t="n">
        <s:v>0</s:v>
      </s:c>
      <s:c r="G14" s="15" t="n">
        <s:v>0</s:v>
      </s:c>
      <s:c r="H14" s="15" t="n">
        <s:v>0</s:v>
      </s:c>
      <s:c r="I14" s="15" t="n">
        <s:v>0</s:v>
      </s:c>
      <s:c r="J14" s="15" t="n">
        <s:f>SUM(F14:I14)</s:f>
        <s:v>0.000000</s:v>
      </s:c>
      <s:c r="K14" s="13" t="n">
        <s:v>13</s:v>
      </s:c>
    </s:row>
    <s:row r="15" ht="53.2" customHeight="1">
      <s:c r="A15" s="1" t="inlineStr">
        <s:is>
          <s:t>1.1.11</s:t>
        </s:is>
      </s:c>
      <s:c r="B15" s="1" t="inlineStr">
        <s:is>
          <s:t>Lijado y limpieza de ductos de gas en áreas de cocina</s:t>
        </s:is>
      </s:c>
      <s:c r="C15" s="1" t="inlineStr">
        <s:is>
          <s:t>TRAMO 1</s:t>
        </s:is>
      </s:c>
      <s:c r="D15" s="1" t="inlineStr">
        <s:is>
          <s:t>m²</s:t>
        </s:is>
      </s:c>
      <s:c r="E15" s="15" t="n">
        <s:v>90</s:v>
      </s:c>
      <s:c r="F15" s="15" t="n">
        <s:v>0</s:v>
      </s:c>
      <s:c r="G15" s="15" t="n">
        <s:v>0</s:v>
      </s:c>
      <s:c r="H15" s="15" t="n">
        <s:v>0</s:v>
      </s:c>
      <s:c r="I15" s="15" t="n">
        <s:v>0</s:v>
      </s:c>
      <s:c r="J15" s="15" t="n">
        <s:f>SUM(F15:I15)</s:f>
        <s:v>0.000000</s:v>
      </s:c>
      <s:c r="K15" s="13" t="n">
        <s:v>12</s:v>
      </s:c>
    </s:row>
    <s:row r="16" ht="53.2" customHeight="1">
      <s:c r="A16" s="1" t="inlineStr">
        <s:is>
          <s:t>1.1.12</s:t>
        </s:is>
      </s:c>
      <s:c r="B16" s="1" t="inlineStr">
        <s:is>
          <s:t>Limpieza de rejillas de contadores</s:t>
        </s:is>
      </s:c>
      <s:c r="C16" s="1" t="inlineStr">
        <s:is>
          <s:t>TRAMO 1</s:t>
        </s:is>
      </s:c>
      <s:c r="D16" s="1" t="inlineStr">
        <s:is>
          <s:t>m²</s:t>
        </s:is>
      </s:c>
      <s:c r="E16" s="15" t="n">
        <s:v>20</s:v>
      </s:c>
      <s:c r="F16" s="15" t="n">
        <s:v>0</s:v>
      </s:c>
      <s:c r="G16" s="15" t="n">
        <s:v>0</s:v>
      </s:c>
      <s:c r="H16" s="15" t="n">
        <s:v>0</s:v>
      </s:c>
      <s:c r="I16" s="15" t="n">
        <s:v>0</s:v>
      </s:c>
      <s:c r="J16" s="15" t="n">
        <s:f>SUM(F16:I16)</s:f>
        <s:v>0.000000</s:v>
      </s:c>
      <s:c r="K16" s="13" t="n">
        <s:v>14</s:v>
      </s:c>
    </s:row>
    <s:row r="17" ht="53.2" customHeight="1">
      <s:c r="A17" s="1" t="inlineStr">
        <s:is>
          <s:t>1.2.1</s:t>
        </s:is>
      </s:c>
      <s:c r="B17" s="1" t="inlineStr">
        <s:is>
          <s:t>Protección de ventanas con plástico</s:t>
        </s:is>
      </s:c>
      <s:c r="C17" s="1" t="inlineStr">
        <s:is>
          <s:t>TRAMO 2</s:t>
        </s:is>
      </s:c>
      <s:c r="D17" s="1" t="inlineStr">
        <s:is>
          <s:t>m²</s:t>
        </s:is>
      </s:c>
      <s:c r="E17" s="15" t="n">
        <s:v>900</s:v>
      </s:c>
      <s:c r="F17" s="15" t="n">
        <s:v>0</s:v>
      </s:c>
      <s:c r="G17" s="15" t="n">
        <s:v>0</s:v>
      </s:c>
      <s:c r="H17" s="15" t="n">
        <s:v>0</s:v>
      </s:c>
      <s:c r="I17" s="15" t="n">
        <s:v>0</s:v>
      </s:c>
      <s:c r="J17" s="15" t="n">
        <s:f>SUM(F17:I17)</s:f>
        <s:v>0.000000</s:v>
      </s:c>
      <s:c r="K17" s="13" t="n">
        <s:v>3</s:v>
      </s:c>
    </s:row>
    <s:row r="18" ht="53.2" customHeight="1">
      <s:c r="A18" s="1" t="inlineStr">
        <s:is>
          <s:t>1.2.2</s:t>
        </s:is>
      </s:c>
      <s:c r="B18" s="1" t="inlineStr">
        <s:is>
          <s:t>Limpieza de fachada en ladrillo - Prelavado</s:t>
        </s:is>
      </s:c>
      <s:c r="C18" s="1" t="inlineStr">
        <s:is>
          <s:t>TRAMO 2</s:t>
        </s:is>
      </s:c>
      <s:c r="D18" s="1" t="inlineStr">
        <s:is>
          <s:t>m²</s:t>
        </s:is>
      </s:c>
      <s:c r="E18" s="15" t="n">
        <s:v>1872</s:v>
      </s:c>
      <s:c r="F18" s="15" t="n">
        <s:v>0</s:v>
      </s:c>
      <s:c r="G18" s="15" t="n">
        <s:v>0</s:v>
      </s:c>
      <s:c r="H18" s="15" t="n">
        <s:v>0</s:v>
      </s:c>
      <s:c r="I18" s="15" t="n">
        <s:v>0</s:v>
      </s:c>
      <s:c r="J18" s="15" t="n">
        <s:f>SUM(F18:I18)</s:f>
        <s:v>0.000000</s:v>
      </s:c>
      <s:c r="K18" s="13" t="n">
        <s:v>1</s:v>
      </s:c>
    </s:row>
    <s:row r="19" ht="53.2" customHeight="1">
      <s:c r="A19" s="1" t="inlineStr">
        <s:is>
          <s:t>1.2.3</s:t>
        </s:is>
      </s:c>
      <s:c r="B19" s="1" t="inlineStr">
        <s:is>
          <s:t>Reemplazo de piezas rotas o deterioradas</s:t>
        </s:is>
      </s:c>
      <s:c r="C19" s="1" t="inlineStr">
        <s:is>
          <s:t>TRAMO 2</s:t>
        </s:is>
      </s:c>
      <s:c r="D19" s="1" t="inlineStr">
        <s:is>
          <s:t>und</s:t>
        </s:is>
      </s:c>
      <s:c r="E19" s="15" t="n">
        <s:v>232</s:v>
      </s:c>
      <s:c r="F19" s="15" t="n">
        <s:v>0</s:v>
      </s:c>
      <s:c r="G19" s="15" t="n">
        <s:v>0</s:v>
      </s:c>
      <s:c r="H19" s="15" t="n">
        <s:v>0</s:v>
      </s:c>
      <s:c r="I19" s="15" t="n">
        <s:v>0</s:v>
      </s:c>
      <s:c r="J19" s="15" t="n">
        <s:f>SUM(F19:I19)</s:f>
        <s:v>0.000000</s:v>
      </s:c>
      <s:c r="K19" s="13" t="n">
        <s:v>2</s:v>
      </s:c>
    </s:row>
    <s:row r="20" ht="53.2" customHeight="1">
      <s:c r="A20" s="1" t="inlineStr">
        <s:is>
          <s:t>1.2.4</s:t>
        </s:is>
      </s:c>
      <s:c r="B20" s="1" t="inlineStr">
        <s:is>
          <s:t>Suministro y aplicación de mortero</s:t>
        </s:is>
      </s:c>
      <s:c r="C20" s="1" t="inlineStr">
        <s:is>
          <s:t>TRAMO 2</s:t>
        </s:is>
      </s:c>
      <s:c r="D20" s="1" t="inlineStr">
        <s:is>
          <s:t>m²</s:t>
        </s:is>
      </s:c>
      <s:c r="E20" s="15" t="n">
        <s:v>1872</s:v>
      </s:c>
      <s:c r="F20" s="15" t="n">
        <s:v>0</s:v>
      </s:c>
      <s:c r="G20" s="15" t="n">
        <s:v>0</s:v>
      </s:c>
      <s:c r="H20" s="15" t="n">
        <s:v>0</s:v>
      </s:c>
      <s:c r="I20" s="15" t="n">
        <s:v>0</s:v>
      </s:c>
      <s:c r="J20" s="15" t="n">
        <s:f>SUM(F20:I20)</s:f>
        <s:v>0.000000</s:v>
      </s:c>
      <s:c r="K20" s="13" t="n">
        <s:v>4</s:v>
      </s:c>
    </s:row>
    <s:row r="21" ht="53.2" customHeight="1">
      <s:c r="A21" s="1" t="inlineStr">
        <s:is>
          <s:t>1.2.5</s:t>
        </s:is>
      </s:c>
      <s:c r="B21" s="1" t="inlineStr">
        <s:is>
          <s:t>Lavado con rinse o ácido especializado</s:t>
        </s:is>
      </s:c>
      <s:c r="C21" s="1" t="inlineStr">
        <s:is>
          <s:t>TRAMO 2</s:t>
        </s:is>
      </s:c>
      <s:c r="D21" s="1" t="inlineStr">
        <s:is>
          <s:t>m²</s:t>
        </s:is>
      </s:c>
      <s:c r="E21" s="15" t="n">
        <s:v>1872</s:v>
      </s:c>
      <s:c r="F21" s="15" t="n">
        <s:v>0</s:v>
      </s:c>
      <s:c r="G21" s="15" t="n">
        <s:v>0</s:v>
      </s:c>
      <s:c r="H21" s="15" t="n">
        <s:v>0</s:v>
      </s:c>
      <s:c r="I21" s="15" t="n">
        <s:v>0</s:v>
      </s:c>
      <s:c r="J21" s="15" t="n">
        <s:f>SUM(F21:I21)</s:f>
        <s:v>0.000000</s:v>
      </s:c>
      <s:c r="K21" s="13" t="n">
        <s:v>5</s:v>
      </s:c>
    </s:row>
    <s:row r="22" ht="53.2" customHeight="1">
      <s:c r="A22" s="1" t="inlineStr">
        <s:is>
          <s:t>1.2.6</s:t>
        </s:is>
      </s:c>
      <s:c r="B22" s="1" t="inlineStr">
        <s:is>
          <s:t>Aplicación SIKA impermeabilizante 10 años</s:t>
        </s:is>
      </s:c>
      <s:c r="C22" s="1" t="inlineStr">
        <s:is>
          <s:t>TRAMO 2</s:t>
        </s:is>
      </s:c>
      <s:c r="D22" s="1" t="inlineStr">
        <s:is>
          <s:t>m²</s:t>
        </s:is>
      </s:c>
      <s:c r="E22" s="15" t="n">
        <s:v>1872</s:v>
      </s:c>
      <s:c r="F22" s="15" t="n">
        <s:v>0</s:v>
      </s:c>
      <s:c r="G22" s="15" t="n">
        <s:v>0</s:v>
      </s:c>
      <s:c r="H22" s="15" t="n">
        <s:v>0</s:v>
      </s:c>
      <s:c r="I22" s="15" t="n">
        <s:v>0</s:v>
      </s:c>
      <s:c r="J22" s="15" t="n">
        <s:f>SUM(F22:I22)</s:f>
        <s:v>0.000000</s:v>
      </s:c>
      <s:c r="K22" s="13" t="n">
        <s:v>6</s:v>
      </s:c>
    </s:row>
    <s:row r="23" ht="53.2" customHeight="1">
      <s:c r="A23" s="1" t="inlineStr">
        <s:is>
          <s:t>1.2.7</s:t>
        </s:is>
      </s:c>
      <s:c r="B23" s="1" t="inlineStr">
        <s:is>
          <s:t>Pintura de marcos y flanches, aplicación de silicona antihongos</s:t>
        </s:is>
      </s:c>
      <s:c r="C23" s="1" t="inlineStr">
        <s:is>
          <s:t>TRAMO 2</s:t>
        </s:is>
      </s:c>
      <s:c r="D23" s="1" t="inlineStr">
        <s:is>
          <s:t>ml</s:t>
        </s:is>
      </s:c>
      <s:c r="E23" s="15" t="n">
        <s:v>624</s:v>
      </s:c>
      <s:c r="F23" s="15" t="n">
        <s:v>0</s:v>
      </s:c>
      <s:c r="G23" s="15" t="n">
        <s:v>0</s:v>
      </s:c>
      <s:c r="H23" s="15" t="n">
        <s:v>0</s:v>
      </s:c>
      <s:c r="I23" s="15" t="n">
        <s:v>0</s:v>
      </s:c>
      <s:c r="J23" s="15" t="n">
        <s:f>SUM(F23:I23)</s:f>
        <s:v>0.000000</s:v>
      </s:c>
      <s:c r="K23" s="13" t="n">
        <s:v>9</s:v>
      </s:c>
    </s:row>
    <s:row r="24" ht="53.2" customHeight="1">
      <s:c r="A24" s="1" t="inlineStr">
        <s:is>
          <s:t>1.2.8</s:t>
        </s:is>
      </s:c>
      <s:c r="B24" s="1" t="inlineStr">
        <s:is>
          <s:t>Lavado de vidrios, incluyendo flanches</s:t>
        </s:is>
      </s:c>
      <s:c r="C24" s="1" t="inlineStr">
        <s:is>
          <s:t>TRAMO 2</s:t>
        </s:is>
      </s:c>
      <s:c r="D24" s="1" t="inlineStr">
        <s:is>
          <s:t>m²</s:t>
        </s:is>
      </s:c>
      <s:c r="E24" s="15" t="n">
        <s:v>900</s:v>
      </s:c>
      <s:c r="F24" s="15" t="n">
        <s:v>0</s:v>
      </s:c>
      <s:c r="G24" s="15" t="n">
        <s:v>0</s:v>
      </s:c>
      <s:c r="H24" s="15" t="n">
        <s:v>0</s:v>
      </s:c>
      <s:c r="I24" s="15" t="n">
        <s:v>0</s:v>
      </s:c>
      <s:c r="J24" s="15" t="n">
        <s:f>SUM(F24:I24)</s:f>
        <s:v>0.000000</s:v>
      </s:c>
      <s:c r="K24" s="13" t="n">
        <s:v>8</s:v>
      </s:c>
    </s:row>
    <s:row r="25" ht="53.2" customHeight="1">
      <s:c r="A25" s="1" t="inlineStr">
        <s:is>
          <s:t>1.2.9</s:t>
        </s:is>
      </s:c>
      <s:c r="B25" s="1" t="inlineStr">
        <s:is>
          <s:t>Limpieza de tuberías de cobre</s:t>
        </s:is>
      </s:c>
      <s:c r="C25" s="1" t="inlineStr">
        <s:is>
          <s:t>TRAMO 2</s:t>
        </s:is>
      </s:c>
      <s:c r="D25" s="1" t="inlineStr">
        <s:is>
          <s:t>ml</s:t>
        </s:is>
      </s:c>
      <s:c r="E25" s="15" t="n">
        <s:v>100</s:v>
      </s:c>
      <s:c r="F25" s="15" t="n">
        <s:v>0</s:v>
      </s:c>
      <s:c r="G25" s="15" t="n">
        <s:v>0</s:v>
      </s:c>
      <s:c r="H25" s="15" t="n">
        <s:v>0</s:v>
      </s:c>
      <s:c r="I25" s="15" t="n">
        <s:v>0</s:v>
      </s:c>
      <s:c r="J25" s="15" t="n">
        <s:f>SUM(F25:I25)</s:f>
        <s:v>0.000000</s:v>
      </s:c>
      <s:c r="K25" s="13" t="n">
        <s:v>13</s:v>
      </s:c>
    </s:row>
    <s:row r="26" ht="53.2" customHeight="1">
      <s:c r="A26" s="1" t="inlineStr">
        <s:is>
          <s:t>1.2.11</s:t>
        </s:is>
      </s:c>
      <s:c r="B26" s="1" t="inlineStr">
        <s:is>
          <s:t>Lijado y limpieza de ductos de gas en áreas de cocina</s:t>
        </s:is>
      </s:c>
      <s:c r="C26" s="1" t="inlineStr">
        <s:is>
          <s:t>TRAMO 2</s:t>
        </s:is>
      </s:c>
      <s:c r="D26" s="1" t="inlineStr">
        <s:is>
          <s:t>m²</s:t>
        </s:is>
      </s:c>
      <s:c r="E26" s="15" t="n">
        <s:v>90</s:v>
      </s:c>
      <s:c r="F26" s="15" t="n">
        <s:v>0</s:v>
      </s:c>
      <s:c r="G26" s="15" t="n">
        <s:v>0</s:v>
      </s:c>
      <s:c r="H26" s="15" t="n">
        <s:v>0</s:v>
      </s:c>
      <s:c r="I26" s="15" t="n">
        <s:v>0</s:v>
      </s:c>
      <s:c r="J26" s="15" t="n">
        <s:f>SUM(F26:I26)</s:f>
        <s:v>0.000000</s:v>
      </s:c>
      <s:c r="K26" s="13" t="n">
        <s:v>12</s:v>
      </s:c>
    </s:row>
    <s:row r="27" ht="53.2" customHeight="1">
      <s:c r="A27" s="1" t="inlineStr">
        <s:is>
          <s:t>1.2.12</s:t>
        </s:is>
      </s:c>
      <s:c r="B27" s="1" t="inlineStr">
        <s:is>
          <s:t>Limpieza de rejillas de contadores</s:t>
        </s:is>
      </s:c>
      <s:c r="C27" s="1" t="inlineStr">
        <s:is>
          <s:t>TRAMO 2</s:t>
        </s:is>
      </s:c>
      <s:c r="D27" s="1" t="inlineStr">
        <s:is>
          <s:t>m²</s:t>
        </s:is>
      </s:c>
      <s:c r="E27" s="15" t="n">
        <s:v>20</s:v>
      </s:c>
      <s:c r="F27" s="15" t="n">
        <s:v>0</s:v>
      </s:c>
      <s:c r="G27" s="15" t="n">
        <s:v>0</s:v>
      </s:c>
      <s:c r="H27" s="15" t="n">
        <s:v>0</s:v>
      </s:c>
      <s:c r="I27" s="15" t="n">
        <s:v>0</s:v>
      </s:c>
      <s:c r="J27" s="15" t="n">
        <s:f>SUM(F27:I27)</s:f>
        <s:v>0.000000</s:v>
      </s:c>
      <s:c r="K27" s="13" t="n">
        <s:v>14</s:v>
      </s:c>
    </s:row>
    <s:row r="28" ht="53.2" customHeight="1">
      <s:c r="A28" s="1" t="inlineStr">
        <s:is>
          <s:t>1.3.1</s:t>
        </s:is>
      </s:c>
      <s:c r="B28" s="1" t="inlineStr">
        <s:is>
          <s:t>Lavado de concreto en fachada flotante interno</s:t>
        </s:is>
      </s:c>
      <s:c r="C28" s="1" t="inlineStr">
        <s:is>
          <s:t>TRAMO 3</s:t>
        </s:is>
      </s:c>
      <s:c r="D28" s="1" t="inlineStr">
        <s:is>
          <s:t>m²</s:t>
        </s:is>
      </s:c>
      <s:c r="E28" s="15" t="n">
        <s:v>192</s:v>
      </s:c>
      <s:c r="F28" s="15" t="n">
        <s:v>0</s:v>
      </s:c>
      <s:c r="G28" s="15" t="n">
        <s:v>0</s:v>
      </s:c>
      <s:c r="H28" s="15" t="n">
        <s:v>0</s:v>
      </s:c>
      <s:c r="I28" s="15" t="n">
        <s:v>0</s:v>
      </s:c>
      <s:c r="J28" s="15" t="n">
        <s:f>SUM(F28:I28)</s:f>
        <s:v>0.000000</s:v>
      </s:c>
      <s:c r="K28" s="13" t="n">
        <s:v>11</s:v>
      </s:c>
    </s:row>
    <s:row r="29" ht="53.2" customHeight="1">
      <s:c r="A29" s="1" t="inlineStr">
        <s:is>
          <s:t>1.3.2</s:t>
        </s:is>
      </s:c>
      <s:c r="B29" s="1" t="inlineStr">
        <s:is>
          <s:t>Resane de muros laterales y pintura</s:t>
        </s:is>
      </s:c>
      <s:c r="C29" s="1" t="inlineStr">
        <s:is>
          <s:t>TRAMO 3</s:t>
        </s:is>
      </s:c>
      <s:c r="D29" s="1" t="inlineStr">
        <s:is>
          <s:t>m²</s:t>
        </s:is>
      </s:c>
      <s:c r="E29" s="15" t="n">
        <s:v>270</s:v>
      </s:c>
      <s:c r="F29" s="15" t="n">
        <s:v>0</s:v>
      </s:c>
      <s:c r="G29" s="15" t="n">
        <s:v>0</s:v>
      </s:c>
      <s:c r="H29" s="15" t="n">
        <s:v>0</s:v>
      </s:c>
      <s:c r="I29" s="15" t="n">
        <s:v>0</s:v>
      </s:c>
      <s:c r="J29" s="15" t="n">
        <s:f>SUM(F29:I29)</s:f>
        <s:v>0.000000</s:v>
      </s:c>
      <s:c r="K29" s="13" t="n">
        <s:v>7</s:v>
      </s:c>
    </s:row>
    <s:row r="30" ht="53.2" customHeight="1">
      <s:c r="A30" s="1" t="inlineStr">
        <s:is>
          <s:t>1.3.3</s:t>
        </s:is>
      </s:c>
      <s:c r="B30" s="1" t="inlineStr">
        <s:is>
          <s:t>Lavado de vidrios, incluyendo la marquesina</s:t>
        </s:is>
      </s:c>
      <s:c r="C30" s="1" t="inlineStr">
        <s:is>
          <s:t>TRAMO 3</s:t>
        </s:is>
      </s:c>
      <s:c r="D30" s="1" t="inlineStr">
        <s:is>
          <s:t>m²</s:t>
        </s:is>
      </s:c>
      <s:c r="E30" s="15" t="n">
        <s:v>640</s:v>
      </s:c>
      <s:c r="F30" s="15" t="n">
        <s:v>0</s:v>
      </s:c>
      <s:c r="G30" s="15" t="n">
        <s:v>0</s:v>
      </s:c>
      <s:c r="H30" s="15" t="n">
        <s:v>0</s:v>
      </s:c>
      <s:c r="I30" s="15" t="n">
        <s:v>0</s:v>
      </s:c>
      <s:c r="J30" s="15" t="n">
        <s:f>SUM(F30:I30)</s:f>
        <s:v>0.000000</s:v>
      </s:c>
      <s:c r="K30" s="13" t="n">
        <s:v>10</s:v>
      </s:c>
    </s:row>
    <s:row r="31">
      <s:c r="A31" s="25" t="n"/>
      <s:c r="B31" s="25" t="n"/>
      <s:c r="C31" s="25" t="n"/>
      <s:c r="D31" s="25" t="n"/>
      <s:c r="E31" s="25" t="n"/>
      <s:c r="F31" s="25" t="n"/>
      <s:c r="G31" s="25" t="n"/>
      <s:c r="H31" s="25" t="n"/>
      <s:c r="I31" s="25" t="n"/>
      <s:c r="J31" s="25" t="n"/>
      <s:c r="K31" s="25" t="n"/>
    </s:row>
    <s:row r="32">
      <s:c r="A32" s="25" t="n"/>
      <s:c r="B32" s="25" t="n"/>
      <s:c r="C32" s="25" t="n"/>
      <s:c r="D32" s="25" t="n"/>
      <s:c r="E32" s="25" t="n"/>
      <s:c r="F32" s="25" t="n"/>
      <s:c r="G32" s="25" t="n"/>
      <s:c r="H32" s="25" t="n"/>
      <s:c r="I32" s="25" t="n"/>
      <s:c r="J32" s="25" t="n"/>
      <s:c r="K32" s="25" t="n"/>
    </s:row>
    <s:row r="33" ht="42" customHeight="1">
      <s:c r="A33" s="25" t="n"/>
      <s:c r="B33" s="18" t="inlineStr">
        <s:is>
          <s:t>Archivos procesados</s:t>
        </s:is>
      </s:c>
      <s:c r="C33" s="25" t="n"/>
      <s:c r="D33" s="25" t="n"/>
      <s:c r="E33" s="25" t="n"/>
      <s:c r="F33" s="25" t="n"/>
      <s:c r="G33" s="25" t="n"/>
      <s:c r="H33" s="25" t="n"/>
      <s:c r="I33" s="25" t="n"/>
      <s:c r="J33" s="25" t="n"/>
      <s:c r="K33" s="25" t="n"/>
    </s:row>
    <s:row r="34" ht="98" customHeight="1">
      <s:c r="A34" s="6" t="inlineStr">
        <s:is>
          <s:t>N.º</s:t>
        </s:is>
      </s:c>
      <s:c r="B34" s="6" t="inlineStr">
        <s:is>
          <s:t>Archivo</s:t>
        </s:is>
      </s:c>
      <s:c r="C34" s="6" t="inlineStr">
        <s:is>
          <s:t>Fecha Corte</s:t>
        </s:is>
      </s:c>
      <s:c r="D34" s="25" t="n"/>
      <s:c r="E34" s="25" t="n"/>
      <s:c r="F34" s="25" t="n"/>
      <s:c r="G34" s="25" t="n"/>
      <s:c r="H34" s="25" t="n"/>
      <s:c r="I34" s="25" t="n"/>
      <s:c r="J34" s="25" t="n"/>
      <s:c r="K34" s="25" t="n"/>
    </s:row>
    <s:row r="35" ht="42" customHeight="1">
      <s:c r="A35" s="26" t="n">
        <s:v>1</s:v>
      </s:c>
      <s:c r="B35" s="27" t="inlineStr">
        <s:is>
          <s:t>Avance_Real_DARCA2_24Ago-29Ago.xlsx</s:t>
        </s:is>
      </s:c>
      <s:c r="C35" s="28" t="n">
        <s:v>46263</s:v>
      </s:c>
      <s:c r="D35" s="25" t="n"/>
      <s:c r="E35" s="25" t="n"/>
      <s:c r="F35" s="25" t="n"/>
      <s:c r="G35" s="25" t="n"/>
      <s:c r="H35" s="25" t="n"/>
      <s:c r="I35" s="25" t="n"/>
      <s:c r="J35" s="25" t="n"/>
      <s:c r="K35" s="25" t="n"/>
    </s:row>
    <s:row r="36" ht="42" customHeight="1">
      <s:c r="A36" s="26" t="n">
        <s:v>2</s:v>
      </s:c>
      <s:c r="B36" s="27" t="inlineStr">
        <s:is>
          <s:t>Avance_Real_DARCA2_31Ago-05Sep.xlsx</s:t>
        </s:is>
      </s:c>
      <s:c r="C36" s="28" t="n">
        <s:v>46270</s:v>
      </s:c>
      <s:c r="D36" s="25" t="n"/>
      <s:c r="E36" s="25" t="n"/>
      <s:c r="F36" s="25" t="n"/>
      <s:c r="G36" s="25" t="n"/>
      <s:c r="H36" s="25" t="n"/>
      <s:c r="I36" s="25" t="n"/>
      <s:c r="J36" s="25" t="n"/>
      <s:c r="K36" s="25" t="n"/>
    </s:row>
    <s:row r="37" ht="42" customHeight="1">
      <s:c r="A37" s="26" t="n">
        <s:v>3</s:v>
      </s:c>
      <s:c r="B37" s="27" t="inlineStr">
        <s:is>
          <s:t>Avance_Real_DARCA2_7Sep-12Sep.xlsx</s:t>
        </s:is>
      </s:c>
      <s:c r="C37" s="28" t="n">
        <s:v>46277</s:v>
      </s:c>
      <s:c r="D37" s="25" t="n"/>
      <s:c r="E37" s="25" t="n"/>
      <s:c r="F37" s="25" t="n"/>
      <s:c r="G37" s="25" t="n"/>
      <s:c r="H37" s="25" t="n"/>
      <s:c r="I37" s="25" t="n"/>
      <s:c r="J37" s="25" t="n"/>
      <s:c r="K37" s="25" t="n"/>
    </s:row>
    <s:row r="38" ht="42" customHeight="1">
      <s:c r="A38" s="26" t="n">
        <s:v>4</s:v>
      </s:c>
      <s:c r="B38" s="27" t="inlineStr">
        <s:is>
          <s:t>Avance_Real_DARCA2_14Sep-19Sep.xlsx</s:t>
        </s:is>
      </s:c>
      <s:c r="C38" s="28" t="n">
        <s:v>46284</s:v>
      </s:c>
      <s:c r="D38" s="25" t="n"/>
      <s:c r="E38" s="25" t="n"/>
      <s:c r="F38" s="25" t="n"/>
      <s:c r="G38" s="25" t="n"/>
      <s:c r="H38" s="25" t="n"/>
      <s:c r="I38" s="25" t="n"/>
      <s:c r="J38" s="25" t="n"/>
      <s:c r="K38" s="25" t="n"/>
    </s:row>
    <s:row r="39">
      <s:c r="A39" s="25" t="n"/>
      <s:c r="B39" s="25" t="n"/>
      <s:c r="C39" s="25" t="n"/>
      <s:c r="D39" s="25" t="n"/>
      <s:c r="E39" s="25" t="n"/>
      <s:c r="F39" s="25" t="n"/>
      <s:c r="G39" s="25" t="n"/>
      <s:c r="H39" s="25" t="n"/>
      <s:c r="I39" s="25" t="n"/>
      <s:c r="J39" s="25" t="n"/>
      <s:c r="K39" s="25" t="n"/>
    </s:row>
    <s:row r="40">
      <s:c r="A40" s="25" t="n"/>
      <s:c r="B40" s="25" t="n"/>
      <s:c r="C40" s="25" t="n"/>
      <s:c r="D40" s="25" t="n"/>
      <s:c r="E40" s="25" t="n"/>
      <s:c r="F40" s="25" t="n"/>
      <s:c r="G40" s="25" t="n"/>
      <s:c r="H40" s="25" t="n"/>
      <s:c r="I40" s="25" t="n"/>
      <s:c r="J40" s="25" t="n"/>
      <s:c r="K40" s="25" t="n"/>
    </s:row>
    <s:row r="41" ht="42" customHeight="1">
      <s:c r="A41" s="25" t="n"/>
      <s:c r="B41" s="18" t="inlineStr">
        <s:is>
          <s:t>Validaciones y advertencias</s:t>
        </s:is>
      </s:c>
      <s:c r="C41" s="25" t="n"/>
      <s:c r="D41" s="25" t="n"/>
      <s:c r="E41" s="25" t="n"/>
      <s:c r="F41" s="25" t="n"/>
      <s:c r="G41" s="25" t="n"/>
      <s:c r="H41" s="25" t="n"/>
      <s:c r="I41" s="25" t="n"/>
      <s:c r="J41" s="25" t="n"/>
      <s:c r="K41" s="25" t="n"/>
    </s:row>
    <s:row r="42" ht="98" customHeight="1">
      <s:c r="A42" s="6" t="inlineStr">
        <s:is>
          <s:t>Nivel</s:t>
        </s:is>
      </s:c>
      <s:c r="B42" s="6" t="inlineStr">
        <s:is>
          <s:t>Detalle</s:t>
        </s:is>
      </s:c>
      <s:c r="C42" s="6" t="inlineStr">
        <s:is>
          <s:t>Archivo</s:t>
        </s:is>
      </s:c>
      <s:c r="D42" s="6" t="inlineStr"/>
      <s:c r="E42" s="6" t="inlineStr"/>
      <s:c r="F42" s="6" t="inlineStr"/>
      <s:c r="G42" s="6" t="inlineStr"/>
      <s:c r="H42" s="6" t="inlineStr"/>
      <s:c r="I42" s="6" t="inlineStr"/>
      <s:c r="J42" s="6" t="inlineStr">
        <s:is>
          <s:t>Fila</s:t>
        </s:is>
      </s:c>
      <s:c r="K42" s="6" t="inlineStr">
        <s:is>
          <s:t>Ítem</s:t>
        </s:is>
      </s:c>
    </s:row>
    <s:row r="43" ht="62.99999999999999" customHeight="1">
      <s:c r="A43" s="27" t="inlineStr">
        <s:is>
          <s:t>ADVERTENCIA</s:t>
        </s:is>
      </s:c>
      <s:c r="B43" s="27" t="inlineStr">
        <s:is>
          <s:t>ACTIVIDAD_VACIA: WBS 1.3.1 sin nombre; se vincula por WBS.</s:t>
        </s:is>
      </s:c>
      <s:c r="C43" s="29" t="inlineStr">
        <s:is>
          <s:t>Avance_Real_DARCA2_14Sep-19Sep.xlsx</s:t>
        </s:is>
      </s:c>
      <s:c r="D43" s="25" t="n"/>
      <s:c r="E43" s="25" t="n"/>
      <s:c r="F43" s="25" t="n"/>
      <s:c r="G43" s="25" t="n"/>
      <s:c r="H43" s="25" t="n"/>
      <s:c r="I43" s="25" t="n"/>
      <s:c r="J43" s="26" t="n">
        <s:v>27</s:v>
      </s:c>
      <s:c r="K43" s="27" t="n"/>
    </s:row>
    <s:row r="44" ht="62.99999999999999" customHeight="1">
      <s:c r="A44" s="27" t="inlineStr">
        <s:is>
          <s:t>ADVERTENCIA</s:t>
        </s:is>
      </s:c>
      <s:c r="B44" s="27" t="inlineStr">
        <s:is>
          <s:t>ACTIVIDAD_VACIA: WBS 1.3.1 sin nombre; se vincula por WBS.</s:t>
        </s:is>
      </s:c>
      <s:c r="C44" s="29" t="inlineStr">
        <s:is>
          <s:t>Avance_Real_DARCA2_31Ago-05Sep.xlsx</s:t>
        </s:is>
      </s:c>
      <s:c r="D44" s="25" t="n"/>
      <s:c r="E44" s="25" t="n"/>
      <s:c r="F44" s="25" t="n"/>
      <s:c r="G44" s="25" t="n"/>
      <s:c r="H44" s="25" t="n"/>
      <s:c r="I44" s="25" t="n"/>
      <s:c r="J44" s="26" t="n">
        <s:v>27</s:v>
      </s:c>
      <s:c r="K44" s="27" t="n"/>
    </s:row>
    <s:row r="45" ht="62.99999999999999" customHeight="1">
      <s:c r="A45" s="27" t="inlineStr">
        <s:is>
          <s:t>ADVERTENCIA</s:t>
        </s:is>
      </s:c>
      <s:c r="B45" s="27" t="inlineStr">
        <s:is>
          <s:t>ACTIVIDAD_VACIA: WBS 1.3.1 sin nombre; se vincula por WBS.</s:t>
        </s:is>
      </s:c>
      <s:c r="C45" s="29" t="inlineStr">
        <s:is>
          <s:t>Avance_Real_DARCA2_7Sep-12Sep.xlsx</s:t>
        </s:is>
      </s:c>
      <s:c r="D45" s="25" t="n"/>
      <s:c r="E45" s="25" t="n"/>
      <s:c r="F45" s="25" t="n"/>
      <s:c r="G45" s="25" t="n"/>
      <s:c r="H45" s="25" t="n"/>
      <s:c r="I45" s="25" t="n"/>
      <s:c r="J45" s="26" t="n">
        <s:v>27</s:v>
      </s:c>
      <s:c r="K45" s="27" t="n"/>
    </s:row>
    <s:row r="46" ht="84" customHeight="1">
      <s:c r="A46" s="27" t="inlineStr">
        <s:is>
          <s:t>INFO</s:t>
        </s:is>
      </s:c>
      <s:c r="B46" s="27" t="inlineStr">
        <s:is>
          <s:t>PRECISION: Cantidades a 6 decimales; precios y cálculos monetarios sin redondeo intermedio, presentación a dos decimales.</s:t>
        </s:is>
      </s:c>
      <s:c r="C46" s="29" t="inlineStr"/>
      <s:c r="D46" s="25" t="n"/>
      <s:c r="E46" s="25" t="n"/>
      <s:c r="F46" s="25" t="n"/>
      <s:c r="G46" s="25" t="n"/>
      <s:c r="H46" s="25" t="n"/>
      <s:c r="I46" s="25" t="n"/>
      <s:c r="J46" s="27" t="n"/>
      <s:c r="K46" s="27" t="n"/>
    </s:row>
  </s:sheetData>
  <s:autoFilter ref="A5:K30"/>
  <s:mergeCells count="1">
    <s:mergeCell ref="A2:C2"/>
  </s:mergeCells>
  <s:conditionalFormatting sqref="A43:A46">
    <s:cfRule type="cellIs" priority="1" operator="equal" dxfId="0">
      <s:formula>"ERROR"</s:formula>
    </s:cfRule>
  </s:conditionalFormatting>
  <s:printOptions horizontalCentered="1"/>
  <s:pageMargins left="0.25" right="0.25" top="1" bottom="1" header="0.5" footer="0.5"/>
  <s:pageSetup orientation="landscape" paperSize="8" scale="100"/>
  <s:headerFooter>
    <s:oddHeader/>
    <s:oddFooter>&amp;C&amp;14 Página &amp;P de &amp;N</s:oddFooter>
    <s:evenHeader/>
    <s:evenFooter/>
    <s:firstHeader/>
    <s:firstFooter/>
  </s:headerFooter>
</s:worksheet>
</file>

<file path=xl/worksheets/sheet3.xml><?xml version="1.0" encoding="utf-8"?>
<s:worksheet xmlns:s="http://schemas.openxmlformats.org/spreadsheetml/2006/main">
  <s:sheetPr>
    <s:outlinePr summaryBelow="1" summaryRight="1"/>
    <s:pageSetUpPr fitToPage="0"/>
  </s:sheetPr>
  <s:dimension ref="A1:H30"/>
  <s:sheetViews>
    <s:sheetView showGridLines="0" workbookViewId="0">
      <s:selection activeCell="A1" sqref="A1"/>
    </s:sheetView>
  </s:sheetViews>
  <s:sheetFormatPr baseColWidth="8" defaultRowHeight="15"/>
  <s:cols>
    <s:col width="11.2" customWidth="1" min="1" max="1"/>
    <s:col width="37.8" customWidth="1" min="2" max="2"/>
    <s:col width="112" customWidth="1" min="3" max="3"/>
    <s:col width="16.8" customWidth="1" min="4" max="4"/>
    <s:col width="25.2" customWidth="1" min="5" max="5"/>
    <s:col width="32.2" customWidth="1" min="6" max="6"/>
    <s:col width="33.59999999999999" customWidth="1" min="7" max="7"/>
    <s:col width="25.2" customWidth="1" min="8" max="8"/>
  </s:cols>
  <s:sheetData>
    <s:row r="1" ht="25" customHeight="1">
      <s:c r="A1" s="1" t="n"/>
      <s:c r="B1" s="1" t="n"/>
      <s:c r="C1" s="1" t="n"/>
      <s:c r="D1" s="1" t="n"/>
      <s:c r="E1" s="1" t="n"/>
      <s:c r="F1" s="1" t="n"/>
      <s:c r="G1" s="1" t="n"/>
      <s:c r="H1" s="1" t="n"/>
    </s:row>
    <s:row r="2" ht="29" customHeight="1">
      <s:c r="A2" s="2" t="inlineStr">
        <s:is>
          <s:t>Presupuesto contractual</s:t>
        </s:is>
      </s:c>
      <s:c r="B2" s="3" t="n"/>
      <s:c r="C2" s="3" t="n"/>
      <s:c r="D2" s="1" t="n"/>
      <s:c r="E2" s="1" t="n"/>
      <s:c r="F2" s="1" t="n"/>
      <s:c r="G2" s="1" t="n"/>
      <s:c r="H2" s="1" t="n"/>
    </s:row>
    <s:row r="3" ht="25" customHeight="1">
      <s:c r="A3" s="4" t="inlineStr">
        <s:is>
          <s:t>Fuente: Edificio Darca II - fachada (2).xlsx / Ppto Ajustado</s:t>
        </s:is>
      </s:c>
      <s:c r="B3" s="1" t="n"/>
      <s:c r="C3" s="1" t="n"/>
      <s:c r="D3" s="1" t="n"/>
      <s:c r="E3" s="1" t="n"/>
      <s:c r="F3" s="1" t="n"/>
      <s:c r="G3" s="1" t="n"/>
      <s:c r="H3" s="1" t="n"/>
    </s:row>
    <s:row r="4" ht="25" customHeight="1">
      <s:c r="A4" s="1" t="n"/>
      <s:c r="B4" s="1" t="n"/>
      <s:c r="C4" s="1" t="n"/>
      <s:c r="D4" s="1" t="n"/>
      <s:c r="E4" s="1" t="n"/>
      <s:c r="F4" s="1" t="n"/>
      <s:c r="G4" s="1" t="n"/>
      <s:c r="H4" s="1" t="n"/>
    </s:row>
    <s:row r="5" ht="70" customHeight="1">
      <s:c r="A5" s="6" t="inlineStr">
        <s:is>
          <s:t>Ítem</s:t>
        </s:is>
      </s:c>
      <s:c r="B5" s="6" t="inlineStr">
        <s:is>
          <s:t>Concepto</s:t>
        </s:is>
      </s:c>
      <s:c r="C5" s="6" t="inlineStr">
        <s:is>
          <s:t>Descripción</s:t>
        </s:is>
      </s:c>
      <s:c r="D5" s="6" t="inlineStr">
        <s:is>
          <s:t>Unidad</s:t>
        </s:is>
      </s:c>
      <s:c r="E5" s="6" t="inlineStr">
        <s:is>
          <s:t>Cantidad contratada</s:t>
        </s:is>
      </s:c>
      <s:c r="F5" s="6" t="inlineStr">
        <s:is>
          <s:t>Precio unitario</s:t>
        </s:is>
      </s:c>
      <s:c r="G5" s="6" t="inlineStr">
        <s:is>
          <s:t>Valor contractual fuente</s:t>
        </s:is>
      </s:c>
      <s:c r="H5" s="6" t="inlineStr">
        <s:is>
          <s:t>Fila de origen</s:t>
        </s:is>
      </s:c>
    </s:row>
    <s:row r="6" ht="58" customHeight="1">
      <s:c r="A6" s="13" t="n">
        <s:v>1</s:v>
      </s:c>
      <s:c r="B6" s="1" t="inlineStr">
        <s:is>
          <s:t>Limpieza superficie</s:t>
        </s:is>
      </s:c>
      <s:c r="C6" s="1" t="inlineStr">
        <s:is>
          <s:t>Limpieza de fachada en ladrillo, incluyendo la eliminación de hollín, marcas color naranja y mugre por polución ambiental, utilizando hidrolavadora de 3000 psi.</s:t>
        </s:is>
      </s:c>
      <s:c r="D6" s="1" t="inlineStr">
        <s:is>
          <s:t>m²</s:t>
        </s:is>
      </s:c>
      <s:c r="E6" s="15" t="n">
        <s:v>3744</s:v>
      </s:c>
      <s:c r="F6" s="16" t="n">
        <s:v>2707.047259942147</s:v>
      </s:c>
      <s:c r="G6" s="16" t="n">
        <s:v>10135184.9412234</s:v>
      </s:c>
      <s:c r="H6" s="13" t="n">
        <s:v>5</s:v>
      </s:c>
    </s:row>
    <s:row r="7" ht="58" customHeight="1">
      <s:c r="A7" s="13" t="n">
        <s:v>2</s:v>
      </s:c>
      <s:c r="B7" s="1" t="inlineStr">
        <s:is>
          <s:t>Reparaciones menores</s:t>
        </s:is>
      </s:c>
      <s:c r="C7" s="1" t="inlineStr">
        <s:is>
          <s:t>Reemplazo de piezas rotas o deterioradas, emboquillado de fisuras con mortero impermeabilizado y Sika Latex.</s:t>
        </s:is>
      </s:c>
      <s:c r="D7" s="1" t="inlineStr">
        <s:is>
          <s:t>und</s:t>
        </s:is>
      </s:c>
      <s:c r="E7" s="15" t="n">
        <s:v>500</s:v>
      </s:c>
      <s:c r="F7" s="16" t="n">
        <s:v>12761.79422544155</s:v>
      </s:c>
      <s:c r="G7" s="16" t="n">
        <s:v>6380897.112720775</s:v>
      </s:c>
      <s:c r="H7" s="13" t="n">
        <s:v>6</s:v>
      </s:c>
    </s:row>
    <s:row r="8" ht="58" customHeight="1">
      <s:c r="A8" s="13" t="n">
        <s:v>3</s:v>
      </s:c>
      <s:c r="B8" s="1" t="inlineStr">
        <s:is>
          <s:t>Protecciones</s:t>
        </s:is>
      </s:c>
      <s:c r="C8" s="1" t="inlineStr">
        <s:is>
          <s:t>Protección de ventanas con plástico y limpieza de vidrios y marcos.</s:t>
        </s:is>
      </s:c>
      <s:c r="D8" s="1" t="inlineStr">
        <s:is>
          <s:t>m²</s:t>
        </s:is>
      </s:c>
      <s:c r="E8" s="15" t="n">
        <s:v>1800</s:v>
      </s:c>
      <s:c r="F8" s="16" t="n">
        <s:v>4157.251149196869</s:v>
      </s:c>
      <s:c r="G8" s="16" t="n">
        <s:v>7483052.068554364</s:v>
      </s:c>
      <s:c r="H8" s="13" t="n">
        <s:v>7</s:v>
      </s:c>
    </s:row>
    <s:row r="9" ht="81.19999999999999" customHeight="1">
      <s:c r="A9" s="13" t="n">
        <s:v>4</s:v>
      </s:c>
      <s:c r="B9" s="1" t="inlineStr">
        <s:is>
          <s:t>Emboquillado</s:t>
        </s:is>
      </s:c>
      <s:c r="C9" s="1" t="inlineStr">
        <s:is>
          <s:t>Suministro y aplicación de mortero impermeabilizante en toda la fachada, incluyendo muros laterales.</s:t>
        </s:is>
      </s:c>
      <s:c r="D9" s="1" t="inlineStr">
        <s:is>
          <s:t>m²</s:t>
        </s:is>
      </s:c>
      <s:c r="E9" s="15" t="n">
        <s:v>3744</s:v>
      </s:c>
      <s:c r="F9" s="16" t="n">
        <s:v>4060.570889913221</s:v>
      </s:c>
      <s:c r="G9" s="16" t="n">
        <s:v>15202777.4118351</s:v>
      </s:c>
      <s:c r="H9" s="13" t="n">
        <s:v>8</s:v>
      </s:c>
    </s:row>
    <s:row r="10" ht="81.19999999999999" customHeight="1">
      <s:c r="A10" s="13" t="n">
        <s:v>5</s:v>
      </s:c>
      <s:c r="B10" s="1" t="inlineStr">
        <s:is>
          <s:t>Lavado</s:t>
        </s:is>
      </s:c>
      <s:c r="C10" s="1" t="inlineStr">
        <s:is>
          <s:t>Lavado con rinse o ácido especializado para fachadas, tras el emboquillado.</s:t>
        </s:is>
      </s:c>
      <s:c r="D10" s="1" t="inlineStr">
        <s:is>
          <s:t>m²</s:t>
        </s:is>
      </s:c>
      <s:c r="E10" s="15" t="n">
        <s:v>3744</s:v>
      </s:c>
      <s:c r="F10" s="16" t="n">
        <s:v>6090.856334869831</s:v>
      </s:c>
      <s:c r="G10" s="16" t="n">
        <s:v>22804166.11775265</s:v>
      </s:c>
      <s:c r="H10" s="13" t="n">
        <s:v>9</s:v>
      </s:c>
    </s:row>
    <s:row r="11" ht="81.19999999999999" customHeight="1">
      <s:c r="A11" s="13" t="n">
        <s:v>6</s:v>
      </s:c>
      <s:c r="B11" s="1" t="inlineStr">
        <s:is>
          <s:t>Suministro y aplicación</s:t>
        </s:is>
      </s:c>
      <s:c r="C11" s="1" t="inlineStr">
        <s:is>
          <s:t>Aplicación de dos manos de SIKA impermeabilizante 10 años, en toda la fachada, incluyendo muros laterales y ladrillo del cerramiento, con aspersor a 360 psi.</s:t>
        </s:is>
      </s:c>
      <s:c r="D11" s="1" t="inlineStr">
        <s:is>
          <s:t>m²</s:t>
        </s:is>
      </s:c>
      <s:c r="E11" s="15" t="n">
        <s:v>3744</s:v>
      </s:c>
      <s:c r="F11" s="16" t="n">
        <s:v>11359.93046582865</s:v>
      </s:c>
      <s:c r="G11" s="16" t="n">
        <s:v>42531579.66406248</s:v>
      </s:c>
      <s:c r="H11" s="13" t="n">
        <s:v>10</s:v>
      </s:c>
    </s:row>
    <s:row r="12" ht="81.19999999999999" customHeight="1">
      <s:c r="A12" s="13" t="n">
        <s:v>7</s:v>
      </s:c>
      <s:c r="B12" s="1" t="inlineStr">
        <s:is>
          <s:t>Resane y reparación</s:t>
        </s:is>
      </s:c>
      <s:c r="C12" s="1" t="inlineStr">
        <s:is>
          <s:t>Resane de muros laterales, impermeabilización y pintura color blanca de alta resistencia.</s:t>
        </s:is>
      </s:c>
      <s:c r="D12" s="1" t="inlineStr">
        <s:is>
          <s:t>m²</s:t>
        </s:is>
      </s:c>
      <s:c r="E12" s="15" t="n">
        <s:v>270</s:v>
      </s:c>
      <s:c r="F12" s="16" t="n">
        <s:v>18272.56900460949</s:v>
      </s:c>
      <s:c r="G12" s="16" t="n">
        <s:v>4933593.631244563</s:v>
      </s:c>
      <s:c r="H12" s="13" t="n">
        <s:v>11</s:v>
      </s:c>
    </s:row>
    <s:row r="13" ht="81.19999999999999" customHeight="1">
      <s:c r="A13" s="13" t="n">
        <s:v>8</s:v>
      </s:c>
      <s:c r="B13" s="1" t="inlineStr">
        <s:is>
          <s:t>Vidrios y marcos</s:t>
        </s:is>
      </s:c>
      <s:c r="C13" s="1" t="inlineStr">
        <s:is>
          <s:t>Lavado de vidrios, incluyendo flanches</s:t>
        </s:is>
      </s:c>
      <s:c r="D13" s="1" t="inlineStr">
        <s:is>
          <s:t>m²</s:t>
        </s:is>
      </s:c>
      <s:c r="E13" s="15" t="n">
        <s:v>1800</s:v>
      </s:c>
      <s:c r="F13" s="16" t="n">
        <s:v>6284.216853437127</s:v>
      </s:c>
      <s:c r="G13" s="16" t="n">
        <s:v>11311590.33618683</s:v>
      </s:c>
      <s:c r="H13" s="13" t="n">
        <s:v>12</s:v>
      </s:c>
    </s:row>
    <s:row r="14" ht="81.19999999999999" customHeight="1">
      <s:c r="A14" s="13" t="n">
        <s:v>9</s:v>
      </s:c>
      <s:c r="B14" s="1" t="inlineStr">
        <s:is>
          <s:t>Vidrios y marcos</s:t>
        </s:is>
      </s:c>
      <s:c r="C14" s="1" t="inlineStr">
        <s:is>
          <s:t>Pintura de marcos y flanches, aplicación de silicona antihongos y reparación de marcos defectuosos.</s:t>
        </s:is>
      </s:c>
      <s:c r="D14" s="1" t="inlineStr">
        <s:is>
          <s:t>ml</s:t>
        </s:is>
      </s:c>
      <s:c r="E14" s="15" t="n">
        <s:v>1248</s:v>
      </s:c>
      <s:c r="F14" s="16" t="n">
        <s:v>10344.78774335035</s:v>
      </s:c>
      <s:c r="G14" s="16" t="n">
        <s:v>12910295.10370123</s:v>
      </s:c>
      <s:c r="H14" s="13" t="n">
        <s:v>13</s:v>
      </s:c>
    </s:row>
    <s:row r="15" ht="81.19999999999999" customHeight="1">
      <s:c r="A15" s="13" t="n">
        <s:v>10</s:v>
      </s:c>
      <s:c r="B15" s="1" t="inlineStr">
        <s:is>
          <s:t>Fachada flotante</s:t>
        </s:is>
      </s:c>
      <s:c r="C15" s="1" t="inlineStr">
        <s:is>
          <s:t>Lavado de vidrios, incluyendo la marquesina.</s:t>
        </s:is>
      </s:c>
      <s:c r="D15" s="1" t="inlineStr">
        <s:is>
          <s:t>m²</s:t>
        </s:is>
      </s:c>
      <s:c r="E15" s="15" t="n">
        <s:v>640</s:v>
      </s:c>
      <s:c r="F15" s="16" t="n">
        <s:v>6284.216853437127</s:v>
      </s:c>
      <s:c r="G15" s="16" t="n">
        <s:v>4021898.786199761</s:v>
      </s:c>
      <s:c r="H15" s="13" t="n">
        <s:v>14</s:v>
      </s:c>
    </s:row>
    <s:row r="16" ht="81.19999999999999" customHeight="1">
      <s:c r="A16" s="13" t="n">
        <s:v>11</s:v>
      </s:c>
      <s:c r="B16" s="1" t="inlineStr">
        <s:is>
          <s:t>Concreto abuzar</s:t>
        </s:is>
      </s:c>
      <s:c r="C16" s="1" t="inlineStr">
        <s:is>
          <s:t>Lavado de concreto en fachada flotante, tanto interno como externo.</s:t>
        </s:is>
      </s:c>
      <s:c r="D16" s="1" t="inlineStr">
        <s:is>
          <s:t>m²</s:t>
        </s:is>
      </s:c>
      <s:c r="E16" s="15" t="n">
        <s:v>192</s:v>
      </s:c>
      <s:c r="F16" s="16" t="n">
        <s:v>6960.978668422664</s:v>
      </s:c>
      <s:c r="G16" s="16" t="n">
        <s:v>1336507.904337151</s:v>
      </s:c>
      <s:c r="H16" s="13" t="n">
        <s:v>15</s:v>
      </s:c>
    </s:row>
    <s:row r="17" ht="81.19999999999999" customHeight="1">
      <s:c r="A17" s="13" t="n">
        <s:v>12</s:v>
      </s:c>
      <s:c r="B17" s="1" t="inlineStr">
        <s:is>
          <s:t>Ductos de gas</s:t>
        </s:is>
      </s:c>
      <s:c r="C17" s="1" t="inlineStr">
        <s:is>
          <s:t>Lijado y limpieza de ductos de gas en áreas de cocina</s:t>
        </s:is>
      </s:c>
      <s:c r="D17" s="1" t="inlineStr">
        <s:is>
          <s:t>m²</s:t>
        </s:is>
      </s:c>
      <s:c r="E17" s="15" t="n">
        <s:v>180</s:v>
      </s:c>
      <s:c r="F17" s="16" t="n">
        <s:v>6477.577372004424</s:v>
      </s:c>
      <s:c r="G17" s="16" t="n">
        <s:v>1165963.926960796</s:v>
      </s:c>
      <s:c r="H17" s="13" t="n">
        <s:v>16</s:v>
      </s:c>
    </s:row>
    <s:row r="18" ht="81.19999999999999" customHeight="1">
      <s:c r="A18" s="13" t="n">
        <s:v>13</s:v>
      </s:c>
      <s:c r="B18" s="1" t="inlineStr">
        <s:is>
          <s:t>Tuberías de gas</s:t>
        </s:is>
      </s:c>
      <s:c r="C18" s="1" t="inlineStr">
        <s:is>
          <s:t>Limpieza de tuberías de cobre</s:t>
        </s:is>
      </s:c>
      <s:c r="D18" s="1" t="inlineStr">
        <s:is>
          <s:t>ml</s:t>
        </s:is>
      </s:c>
      <s:c r="E18" s="15" t="n">
        <s:v>200</s:v>
      </s:c>
      <s:c r="F18" s="16" t="n">
        <s:v>5607.455038451591</s:v>
      </s:c>
      <s:c r="G18" s="16" t="n">
        <s:v>1121491.007690318</s:v>
      </s:c>
      <s:c r="H18" s="13" t="n">
        <s:v>17</s:v>
      </s:c>
    </s:row>
    <s:row r="19" ht="81.19999999999999" customHeight="1">
      <s:c r="A19" s="13" t="n">
        <s:v>14</s:v>
      </s:c>
      <s:c r="B19" s="1" t="inlineStr">
        <s:is>
          <s:t>Rejillas</s:t>
        </s:is>
      </s:c>
      <s:c r="C19" s="1" t="inlineStr">
        <s:is>
          <s:t>Limpieza de rejillas de contadores</s:t>
        </s:is>
      </s:c>
      <s:c r="D19" s="1" t="inlineStr">
        <s:is>
          <s:t>m²</s:t>
        </s:is>
      </s:c>
      <s:c r="E19" s="15" t="n">
        <s:v>40</s:v>
      </s:c>
      <s:c r="F19" s="16" t="n">
        <s:v>9668.02592836481</s:v>
      </s:c>
      <s:c r="G19" s="16" t="n">
        <s:v>386721.0371345924</s:v>
      </s:c>
      <s:c r="H19" s="13" t="n">
        <s:v>18</s:v>
      </s:c>
    </s:row>
    <s:row r="20" ht="25" customHeight="1">
      <s:c r="A20" s="1" t="n"/>
      <s:c r="B20" s="1" t="n"/>
      <s:c r="C20" s="1" t="n"/>
      <s:c r="D20" s="1" t="n"/>
      <s:c r="E20" s="1" t="n"/>
      <s:c r="F20" s="1" t="n"/>
      <s:c r="G20" s="1" t="n"/>
      <s:c r="H20" s="1" t="n"/>
    </s:row>
    <s:row r="21" ht="25" customHeight="1">
      <s:c r="A21" s="1" t="n"/>
      <s:c r="B21" s="1" t="n"/>
      <s:c r="C21" s="1" t="n"/>
      <s:c r="D21" s="1" t="n"/>
      <s:c r="E21" s="1" t="n"/>
      <s:c r="F21" s="1" t="n"/>
      <s:c r="G21" s="1" t="n"/>
      <s:c r="H21" s="1" t="n"/>
    </s:row>
    <s:row r="22" ht="25" customHeight="1">
      <s:c r="A22" s="1" t="n"/>
      <s:c r="B22" s="1" t="n"/>
      <s:c r="C22" s="1" t="n"/>
      <s:c r="D22" s="1" t="n"/>
      <s:c r="E22" s="1" t="n"/>
      <s:c r="F22" s="1" t="n"/>
      <s:c r="G22" s="1" t="n"/>
      <s:c r="H22" s="1" t="n"/>
    </s:row>
    <s:row r="23" ht="35" customHeight="1">
      <s:c r="A23" s="1" t="n"/>
      <s:c r="B23" s="1" t="inlineStr">
        <s:is>
          <s:t>Administracion</s:t>
        </s:is>
      </s:c>
      <s:c r="C23" s="1" t="n"/>
      <s:c r="D23" s="1" t="n"/>
      <s:c r="E23" s="17" t="n">
        <s:v>0.1</s:v>
      </s:c>
      <s:c r="F23" s="1" t="n"/>
      <s:c r="G23" s="1" t="n"/>
      <s:c r="H23" s="1" t="n"/>
    </s:row>
    <s:row r="24" ht="35" customHeight="1">
      <s:c r="A24" s="1" t="n"/>
      <s:c r="B24" s="1" t="inlineStr">
        <s:is>
          <s:t>Imprevistos</s:t>
        </s:is>
      </s:c>
      <s:c r="C24" s="1" t="n"/>
      <s:c r="D24" s="1" t="n"/>
      <s:c r="E24" s="17" t="n">
        <s:v>0.04</s:v>
      </s:c>
      <s:c r="F24" s="1" t="n"/>
      <s:c r="G24" s="1" t="n"/>
      <s:c r="H24" s="1" t="n"/>
    </s:row>
    <s:row r="25" ht="35" customHeight="1">
      <s:c r="A25" s="1" t="n"/>
      <s:c r="B25" s="1" t="inlineStr">
        <s:is>
          <s:t>Utilidad</s:t>
        </s:is>
      </s:c>
      <s:c r="C25" s="1" t="n"/>
      <s:c r="D25" s="1" t="n"/>
      <s:c r="E25" s="17" t="n">
        <s:v>0.05</s:v>
      </s:c>
      <s:c r="F25" s="1" t="n"/>
      <s:c r="G25" s="1" t="n"/>
      <s:c r="H25" s="1" t="n"/>
    </s:row>
    <s:row r="26" ht="35" customHeight="1">
      <s:c r="A26" s="1" t="n"/>
      <s:c r="B26" s="1" t="inlineStr">
        <s:is>
          <s:t>IVA sobre utilidad</s:t>
        </s:is>
      </s:c>
      <s:c r="C26" s="1" t="n"/>
      <s:c r="D26" s="1" t="n"/>
      <s:c r="E26" s="17" t="n">
        <s:v>0.19</s:v>
      </s:c>
      <s:c r="F26" s="1" t="n"/>
      <s:c r="G26" s="1" t="n"/>
      <s:c r="H26" s="1" t="n"/>
    </s:row>
    <s:row r="27" ht="25" customHeight="1">
      <s:c r="A27" s="1" t="n"/>
      <s:c r="B27" s="1" t="n"/>
      <s:c r="C27" s="1" t="n"/>
      <s:c r="D27" s="1" t="n"/>
      <s:c r="E27" s="1" t="n"/>
      <s:c r="F27" s="1" t="n"/>
      <s:c r="G27" s="1" t="n"/>
      <s:c r="H27" s="1" t="n"/>
    </s:row>
    <s:row r="28" ht="35" customHeight="1">
      <s:c r="A28" s="1" t="n"/>
      <s:c r="B28" s="1" t="inlineStr">
        <s:is>
          <s:t>Costos directos contractuales</s:t>
        </s:is>
      </s:c>
      <s:c r="C28" s="1" t="n"/>
      <s:c r="D28" s="1" t="n"/>
      <s:c r="E28" s="1" t="n"/>
      <s:c r="F28" s="1" t="n"/>
      <s:c r="G28" s="16" t="n">
        <s:v>141725719.049604</s:v>
      </s:c>
      <s:c r="H28" s="1" t="n"/>
    </s:row>
    <s:row r="29" ht="35" customHeight="1">
      <s:c r="A29" s="1" t="n"/>
      <s:c r="B29" s="1" t="inlineStr">
        <s:is>
          <s:t>Total contractual con AIU e IVA</s:t>
        </s:is>
      </s:c>
      <s:c r="C29" s="1" t="n"/>
      <s:c r="D29" s="1" t="n"/>
      <s:c r="E29" s="1" t="n"/>
      <s:c r="F29" s="1" t="n"/>
      <s:c r="G29" s="16" t="n">
        <s:v>170000000</s:v>
      </s:c>
      <s:c r="H29" s="1" t="n"/>
    </s:row>
    <s:row r="30" ht="25" customHeight="1">
      <s:c r="A30" s="1" t="n"/>
      <s:c r="B30" s="1" t="n"/>
      <s:c r="C30" s="1" t="n"/>
      <s:c r="D30" s="1" t="n"/>
      <s:c r="E30" s="1" t="n"/>
      <s:c r="F30" s="1" t="n"/>
      <s:c r="G30" s="1" t="n"/>
      <s:c r="H30" s="1" t="n"/>
    </s:row>
  </s:sheetData>
  <s:autoFilter ref="A5:H19"/>
  <s:mergeCells count="1">
    <s:mergeCell ref="A2:C2"/>
  </s:mergeCells>
  <s:printOptions horizontalCentered="1"/>
  <s:pageMargins left="0.25" right="0.25" top="1" bottom="1" header="0.5" footer="0.5"/>
  <s:pageSetup orientation="landscape" paperSize="8" scale="100"/>
  <s:headerFooter>
    <s:oddHeader/>
    <s:oddFooter>&amp;C&amp;14 Página &amp;P de &amp;N</s:oddFooter>
    <s:evenHeader/>
    <s:evenFooter/>
    <s:firstHeader/>
    <s:firstFooter/>
  </s:headerFooter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Cortes Darca II</dc:creator>
  <dc:title>Corte 01 — Darca II</dc:title>
  <dcterms:created xsi:type="dcterms:W3CDTF">2026-09-22T17:45:54Z</dcterms:created>
  <dcterms:modified xsi:type="dcterms:W3CDTF">2026-09-22T17:45:54Z</dcterms:modified>
</cp:coreProperties>
</file>